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user/PROJECT/03 PROJECT PELNI/2. Operasional/2026/01 Januari/"/>
    </mc:Choice>
  </mc:AlternateContent>
  <xr:revisionPtr revIDLastSave="0" documentId="13_ncr:1_{5425309A-F275-9C40-AE09-141F8EE36C2C}" xr6:coauthVersionLast="38" xr6:coauthVersionMax="45" xr10:uidLastSave="{00000000-0000-0000-0000-000000000000}"/>
  <bookViews>
    <workbookView xWindow="0" yWindow="500" windowWidth="25600" windowHeight="15500" activeTab="1" xr2:uid="{7AFB8C07-0570-42C5-80D3-094AA249B5E8}"/>
  </bookViews>
  <sheets>
    <sheet name="Chart1" sheetId="4" r:id="rId1"/>
    <sheet name="Data Recap Januari 2026" sheetId="2" r:id="rId2"/>
    <sheet name="Sheet2" sheetId="3" r:id="rId3"/>
    <sheet name="Sheet1" sheetId="1" r:id="rId4"/>
  </sheets>
  <definedNames>
    <definedName name="_xlnm._FilterDatabase" localSheetId="1" hidden="1">'Data Recap Januari 2026'!$A$12:$Z$96</definedName>
    <definedName name="_xlnm.Print_Area" localSheetId="1">'Data Recap Januari 2026'!$A$1:$AA$97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6" i="2" l="1"/>
  <c r="V60" i="2" l="1"/>
  <c r="Z60" i="2" s="1"/>
  <c r="U96" i="2" l="1"/>
  <c r="T96" i="2"/>
  <c r="S96" i="2"/>
  <c r="R96" i="2"/>
  <c r="Q96" i="2"/>
  <c r="P96" i="2"/>
  <c r="O96" i="2"/>
  <c r="N96" i="2"/>
  <c r="M96" i="2"/>
  <c r="L96" i="2"/>
  <c r="K96" i="2"/>
  <c r="J96" i="2"/>
  <c r="V52" i="2" l="1"/>
  <c r="Z52" i="2" s="1"/>
  <c r="Y52" i="2"/>
  <c r="X52" i="2"/>
  <c r="W52" i="2"/>
  <c r="I52" i="2"/>
  <c r="V51" i="2"/>
  <c r="Z51" i="2" s="1"/>
  <c r="Y51" i="2"/>
  <c r="X51" i="2"/>
  <c r="W51" i="2"/>
  <c r="I51" i="2"/>
  <c r="V50" i="2"/>
  <c r="Z50" i="2" s="1"/>
  <c r="Y50" i="2"/>
  <c r="X50" i="2"/>
  <c r="W50" i="2"/>
  <c r="I50" i="2"/>
  <c r="V49" i="2" l="1"/>
  <c r="Z49" i="2" s="1"/>
  <c r="Y49" i="2"/>
  <c r="X49" i="2"/>
  <c r="W49" i="2"/>
  <c r="I49" i="2"/>
  <c r="V48" i="2"/>
  <c r="Z48" i="2" s="1"/>
  <c r="Y48" i="2"/>
  <c r="X48" i="2"/>
  <c r="W48" i="2"/>
  <c r="I48" i="2"/>
  <c r="V47" i="2"/>
  <c r="Z47" i="2" s="1"/>
  <c r="Y47" i="2"/>
  <c r="X47" i="2"/>
  <c r="W47" i="2"/>
  <c r="I47" i="2"/>
  <c r="Y74" i="2" l="1"/>
  <c r="X74" i="2"/>
  <c r="W74" i="2"/>
  <c r="V74" i="2"/>
  <c r="Z74" i="2" s="1"/>
  <c r="I74" i="2"/>
  <c r="W92" i="2" l="1"/>
  <c r="Y92" i="2"/>
  <c r="V92" i="2"/>
  <c r="X92" i="2"/>
  <c r="I92" i="2"/>
  <c r="Y90" i="2"/>
  <c r="Y91" i="2"/>
  <c r="W90" i="2"/>
  <c r="W91" i="2"/>
  <c r="V91" i="2"/>
  <c r="Z91" i="2" s="1"/>
  <c r="X91" i="2"/>
  <c r="I91" i="2"/>
  <c r="V67" i="2"/>
  <c r="Z67" i="2" s="1"/>
  <c r="I67" i="2"/>
  <c r="V46" i="2"/>
  <c r="Z46" i="2" s="1"/>
  <c r="Y46" i="2"/>
  <c r="X46" i="2"/>
  <c r="W46" i="2"/>
  <c r="I46" i="2"/>
  <c r="V45" i="2"/>
  <c r="Z45" i="2" s="1"/>
  <c r="Y45" i="2"/>
  <c r="X45" i="2"/>
  <c r="W45" i="2"/>
  <c r="I45" i="2"/>
  <c r="V44" i="2"/>
  <c r="Z44" i="2" s="1"/>
  <c r="Y44" i="2"/>
  <c r="X44" i="2"/>
  <c r="W44" i="2"/>
  <c r="I44" i="2"/>
  <c r="V43" i="2"/>
  <c r="Z43" i="2" s="1"/>
  <c r="Y43" i="2"/>
  <c r="X43" i="2"/>
  <c r="W43" i="2"/>
  <c r="I43" i="2"/>
  <c r="V42" i="2"/>
  <c r="Z42" i="2" s="1"/>
  <c r="Y42" i="2"/>
  <c r="X42" i="2"/>
  <c r="W42" i="2"/>
  <c r="I42" i="2"/>
  <c r="V41" i="2"/>
  <c r="Z41" i="2" s="1"/>
  <c r="Y41" i="2"/>
  <c r="X41" i="2"/>
  <c r="W41" i="2"/>
  <c r="I41" i="2"/>
  <c r="V40" i="2"/>
  <c r="Z40" i="2" s="1"/>
  <c r="Y40" i="2"/>
  <c r="X40" i="2"/>
  <c r="W40" i="2"/>
  <c r="I40" i="2"/>
  <c r="V30" i="2"/>
  <c r="Z30" i="2" s="1"/>
  <c r="I30" i="2"/>
  <c r="V24" i="2"/>
  <c r="Z24" i="2" s="1"/>
  <c r="Y24" i="2"/>
  <c r="X24" i="2"/>
  <c r="W24" i="2"/>
  <c r="I24" i="2"/>
  <c r="V20" i="2"/>
  <c r="Z20" i="2" s="1"/>
  <c r="Y20" i="2"/>
  <c r="X20" i="2"/>
  <c r="W20" i="2"/>
  <c r="I20" i="2"/>
  <c r="V19" i="2"/>
  <c r="Z19" i="2" s="1"/>
  <c r="Y19" i="2"/>
  <c r="X19" i="2"/>
  <c r="W19" i="2"/>
  <c r="I19" i="2"/>
  <c r="V18" i="2"/>
  <c r="Z18" i="2" s="1"/>
  <c r="Y18" i="2"/>
  <c r="X18" i="2"/>
  <c r="W18" i="2"/>
  <c r="I18" i="2"/>
  <c r="Z92" i="2" l="1"/>
  <c r="V90" i="2"/>
  <c r="X90" i="2"/>
  <c r="I90" i="2"/>
  <c r="Y89" i="2"/>
  <c r="W89" i="2"/>
  <c r="V89" i="2"/>
  <c r="Z89" i="2" s="1"/>
  <c r="X89" i="2"/>
  <c r="I89" i="2"/>
  <c r="V59" i="2"/>
  <c r="Z59" i="2" s="1"/>
  <c r="Z90" i="2" l="1"/>
  <c r="Y88" i="2"/>
  <c r="W88" i="2"/>
  <c r="V88" i="2"/>
  <c r="X88" i="2"/>
  <c r="I88" i="2"/>
  <c r="Y87" i="2"/>
  <c r="W87" i="2"/>
  <c r="V87" i="2"/>
  <c r="Z87" i="2" s="1"/>
  <c r="X87" i="2"/>
  <c r="I87" i="2"/>
  <c r="W72" i="2"/>
  <c r="Y72" i="2"/>
  <c r="V72" i="2"/>
  <c r="Z72" i="2" s="1"/>
  <c r="X72" i="2"/>
  <c r="I72" i="2"/>
  <c r="V29" i="2"/>
  <c r="Z29" i="2" s="1"/>
  <c r="I29" i="2"/>
  <c r="Z88" i="2" l="1"/>
  <c r="Y83" i="2"/>
  <c r="X83" i="2"/>
  <c r="W83" i="2"/>
  <c r="V83" i="2"/>
  <c r="Z83" i="2" s="1"/>
  <c r="I83" i="2"/>
  <c r="V73" i="2"/>
  <c r="Z73" i="2" s="1"/>
  <c r="V64" i="2"/>
  <c r="Z64" i="2" s="1"/>
  <c r="I64" i="2"/>
  <c r="V63" i="2"/>
  <c r="Z63" i="2" s="1"/>
  <c r="I63" i="2"/>
  <c r="Y35" i="2"/>
  <c r="X35" i="2"/>
  <c r="W35" i="2"/>
  <c r="V35" i="2"/>
  <c r="Z35" i="2" s="1"/>
  <c r="I35" i="2"/>
  <c r="I36" i="2"/>
  <c r="V36" i="2"/>
  <c r="Z36" i="2" s="1"/>
  <c r="W36" i="2"/>
  <c r="X36" i="2"/>
  <c r="Y36" i="2"/>
  <c r="Y71" i="2" l="1"/>
  <c r="X71" i="2"/>
  <c r="W71" i="2"/>
  <c r="V23" i="2" l="1"/>
  <c r="Z23" i="2" s="1"/>
  <c r="Y23" i="2"/>
  <c r="X23" i="2"/>
  <c r="W23" i="2"/>
  <c r="I23" i="2"/>
  <c r="Y86" i="2"/>
  <c r="W86" i="2"/>
  <c r="V86" i="2"/>
  <c r="X86" i="2"/>
  <c r="I86" i="2"/>
  <c r="Y85" i="2"/>
  <c r="W85" i="2"/>
  <c r="V85" i="2"/>
  <c r="Z85" i="2" s="1"/>
  <c r="X85" i="2"/>
  <c r="I85" i="2"/>
  <c r="Z86" i="2" l="1"/>
  <c r="V71" i="2"/>
  <c r="Z71" i="2" s="1"/>
  <c r="I71" i="2"/>
  <c r="Y70" i="2"/>
  <c r="X70" i="2"/>
  <c r="W70" i="2"/>
  <c r="V70" i="2"/>
  <c r="Z70" i="2" s="1"/>
  <c r="I70" i="2"/>
  <c r="Y84" i="2" l="1"/>
  <c r="W84" i="2"/>
  <c r="V84" i="2"/>
  <c r="Z84" i="2" s="1"/>
  <c r="X84" i="2"/>
  <c r="I84" i="2"/>
  <c r="V66" i="2" l="1"/>
  <c r="Z66" i="2" s="1"/>
  <c r="I66" i="2"/>
  <c r="V58" i="2"/>
  <c r="Z58" i="2" s="1"/>
  <c r="Y34" i="2"/>
  <c r="Y37" i="2"/>
  <c r="Y38" i="2"/>
  <c r="Y39" i="2"/>
  <c r="X34" i="2"/>
  <c r="X37" i="2"/>
  <c r="X38" i="2"/>
  <c r="X39" i="2"/>
  <c r="W34" i="2"/>
  <c r="W37" i="2"/>
  <c r="W38" i="2"/>
  <c r="W39" i="2"/>
  <c r="V39" i="2"/>
  <c r="Z39" i="2" s="1"/>
  <c r="I39" i="2"/>
  <c r="V38" i="2"/>
  <c r="Z38" i="2" s="1"/>
  <c r="V37" i="2"/>
  <c r="Z37" i="2" s="1"/>
  <c r="I38" i="2"/>
  <c r="I37" i="2"/>
  <c r="V34" i="2"/>
  <c r="Z34" i="2" s="1"/>
  <c r="I34" i="2"/>
  <c r="V28" i="2"/>
  <c r="Z28" i="2" s="1"/>
  <c r="I28" i="2"/>
  <c r="W82" i="2" l="1"/>
  <c r="Y82" i="2"/>
  <c r="V82" i="2"/>
  <c r="Z82" i="2" s="1"/>
  <c r="X82" i="2"/>
  <c r="I82" i="2"/>
  <c r="V57" i="2"/>
  <c r="Z57" i="2" s="1"/>
  <c r="V27" i="2"/>
  <c r="Z27" i="2" s="1"/>
  <c r="I27" i="2"/>
  <c r="V17" i="2"/>
  <c r="Z17" i="2" s="1"/>
  <c r="Y17" i="2"/>
  <c r="X17" i="2"/>
  <c r="W17" i="2"/>
  <c r="I17" i="2"/>
  <c r="Y16" i="2"/>
  <c r="X16" i="2"/>
  <c r="W16" i="2"/>
  <c r="V16" i="2"/>
  <c r="Z16" i="2" s="1"/>
  <c r="I16" i="2"/>
  <c r="V65" i="2" l="1"/>
  <c r="Z65" i="2" s="1"/>
  <c r="I65" i="2"/>
  <c r="Y68" i="2" l="1"/>
  <c r="Y81" i="2" l="1"/>
  <c r="W81" i="2" l="1"/>
  <c r="V81" i="2"/>
  <c r="Z81" i="2" s="1"/>
  <c r="X81" i="2"/>
  <c r="I81" i="2"/>
  <c r="Y80" i="2"/>
  <c r="W80" i="2"/>
  <c r="V80" i="2"/>
  <c r="X80" i="2"/>
  <c r="I80" i="2"/>
  <c r="W79" i="2"/>
  <c r="Y79" i="2"/>
  <c r="V79" i="2"/>
  <c r="Z79" i="2" s="1"/>
  <c r="X79" i="2"/>
  <c r="I79" i="2"/>
  <c r="Z80" i="2" l="1"/>
  <c r="X33" i="2"/>
  <c r="Y33" i="2"/>
  <c r="W33" i="2"/>
  <c r="V33" i="2"/>
  <c r="Z33" i="2" s="1"/>
  <c r="I33" i="2"/>
  <c r="X31" i="2"/>
  <c r="X32" i="2"/>
  <c r="Y32" i="2"/>
  <c r="W32" i="2"/>
  <c r="V32" i="2"/>
  <c r="Z32" i="2" s="1"/>
  <c r="I32" i="2"/>
  <c r="Y31" i="2"/>
  <c r="W31" i="2"/>
  <c r="V31" i="2"/>
  <c r="Z31" i="2" s="1"/>
  <c r="I31" i="2"/>
  <c r="V56" i="2"/>
  <c r="Z56" i="2" s="1"/>
  <c r="Y15" i="2" l="1"/>
  <c r="X15" i="2"/>
  <c r="W15" i="2"/>
  <c r="V15" i="2"/>
  <c r="Z15" i="2" s="1"/>
  <c r="I15" i="2"/>
  <c r="I62" i="2" l="1"/>
  <c r="I61" i="2" l="1"/>
  <c r="V22" i="2" l="1"/>
  <c r="Z22" i="2" s="1"/>
  <c r="Y22" i="2"/>
  <c r="X22" i="2"/>
  <c r="W22" i="2"/>
  <c r="I22" i="2"/>
  <c r="V54" i="2" l="1"/>
  <c r="Z54" i="2" s="1"/>
  <c r="V53" i="2"/>
  <c r="Z53" i="2" s="1"/>
  <c r="X78" i="2" l="1"/>
  <c r="W78" i="2"/>
  <c r="V62" i="2" l="1"/>
  <c r="Z62" i="2" s="1"/>
  <c r="Y21" i="2"/>
  <c r="X21" i="2"/>
  <c r="W21" i="2"/>
  <c r="V21" i="2"/>
  <c r="Z21" i="2" s="1"/>
  <c r="I21" i="2"/>
  <c r="Y14" i="2"/>
  <c r="X14" i="2"/>
  <c r="W14" i="2"/>
  <c r="V14" i="2"/>
  <c r="Z14" i="2" s="1"/>
  <c r="I14" i="2"/>
  <c r="V61" i="2" l="1"/>
  <c r="Z61" i="2" s="1"/>
  <c r="V26" i="2" l="1"/>
  <c r="Z26" i="2" s="1"/>
  <c r="I26" i="2"/>
  <c r="Y78" i="2" l="1"/>
  <c r="V78" i="2"/>
  <c r="Z78" i="2" s="1"/>
  <c r="I78" i="2"/>
  <c r="Y77" i="2" l="1"/>
  <c r="X77" i="2"/>
  <c r="W77" i="2"/>
  <c r="V77" i="2"/>
  <c r="Z77" i="2" s="1"/>
  <c r="I77" i="2"/>
  <c r="V69" i="2" l="1"/>
  <c r="Z69" i="2" s="1"/>
  <c r="Y69" i="2"/>
  <c r="X69" i="2"/>
  <c r="W69" i="2"/>
  <c r="I69" i="2"/>
  <c r="X68" i="2"/>
  <c r="W68" i="2"/>
  <c r="V68" i="2"/>
  <c r="I68" i="2"/>
  <c r="Z68" i="2" l="1"/>
  <c r="W76" i="2"/>
  <c r="Y76" i="2"/>
  <c r="V76" i="2"/>
  <c r="Z76" i="2" s="1"/>
  <c r="X76" i="2"/>
  <c r="I76" i="2"/>
  <c r="Y75" i="2"/>
  <c r="W75" i="2"/>
  <c r="V75" i="2"/>
  <c r="Z75" i="2" s="1"/>
  <c r="X75" i="2"/>
  <c r="I75" i="2"/>
  <c r="A7" i="2" l="1"/>
  <c r="V55" i="2" l="1"/>
  <c r="Z55" i="2" s="1"/>
  <c r="V25" i="2"/>
  <c r="Z25" i="2" s="1"/>
  <c r="I25" i="2"/>
  <c r="I13" i="2" l="1"/>
  <c r="Y13" i="2"/>
  <c r="X13" i="2"/>
  <c r="W13" i="2"/>
  <c r="V13" i="2"/>
  <c r="V96" i="2" s="1"/>
  <c r="Z13" i="2" l="1"/>
  <c r="A95" i="2" l="1"/>
</calcChain>
</file>

<file path=xl/sharedStrings.xml><?xml version="1.0" encoding="utf-8"?>
<sst xmlns="http://schemas.openxmlformats.org/spreadsheetml/2006/main" count="827" uniqueCount="90">
  <si>
    <t>REKAPITULASI LAPORAN HASIL PEKERJAAN LAPANGAN</t>
  </si>
  <si>
    <t>PEKERJAAN JASA INDEPENDENT SURVEYOR DALAM RANGKA PENGAWASAN BUNKER SURVEY KAPAL-KAPAL PT.PELNI (PERSERO)</t>
  </si>
  <si>
    <t>NO.</t>
  </si>
  <si>
    <t>VESSEL</t>
  </si>
  <si>
    <t>BARGE</t>
  </si>
  <si>
    <t>PORT</t>
  </si>
  <si>
    <t>Date of loading to Barge</t>
  </si>
  <si>
    <t>Date of loading to Pelni</t>
  </si>
  <si>
    <t>Delivery Order</t>
  </si>
  <si>
    <t>OBQ on Barge</t>
  </si>
  <si>
    <t>Barge Fig. After Loading</t>
  </si>
  <si>
    <t>Barge Fig. Before Discharge</t>
  </si>
  <si>
    <t>Barge Fig. After Discharge</t>
  </si>
  <si>
    <t>Ship Received (PELNI)</t>
  </si>
  <si>
    <t>Diff</t>
  </si>
  <si>
    <t xml:space="preserve">Difference </t>
  </si>
  <si>
    <t>Load. R1</t>
  </si>
  <si>
    <t>transit R2</t>
  </si>
  <si>
    <t>Disch. R3</t>
  </si>
  <si>
    <t xml:space="preserve">Outt. R4 </t>
  </si>
  <si>
    <t>K/L</t>
  </si>
  <si>
    <r>
      <t xml:space="preserve">KL 15 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>C</t>
    </r>
  </si>
  <si>
    <t>(%)</t>
  </si>
  <si>
    <t>No</t>
  </si>
  <si>
    <t>SHIP</t>
  </si>
  <si>
    <t>Outt R4</t>
  </si>
  <si>
    <t>Initial</t>
  </si>
  <si>
    <t>Final</t>
  </si>
  <si>
    <t>Total</t>
  </si>
  <si>
    <t>Readout FlowMeter Data (Deca liter)</t>
  </si>
  <si>
    <t>-</t>
  </si>
  <si>
    <t>KM Sangiang</t>
  </si>
  <si>
    <t>Ambon</t>
  </si>
  <si>
    <t>Bitung</t>
  </si>
  <si>
    <t>KM Sirimau</t>
  </si>
  <si>
    <t>Kupang</t>
  </si>
  <si>
    <t>Makassar</t>
  </si>
  <si>
    <t>Surabaya</t>
  </si>
  <si>
    <t>KM Pangrango</t>
  </si>
  <si>
    <t>KM Tatamailau</t>
  </si>
  <si>
    <t>Balikpapan</t>
  </si>
  <si>
    <t>Kendari</t>
  </si>
  <si>
    <t>KM Jetliner</t>
  </si>
  <si>
    <t>Jakarta</t>
  </si>
  <si>
    <t>LCT Dwi Bayu</t>
  </si>
  <si>
    <t>LCT Wira 1</t>
  </si>
  <si>
    <t>LCT Elisa</t>
  </si>
  <si>
    <t>KM Wilis</t>
  </si>
  <si>
    <t>KM Binaiya</t>
  </si>
  <si>
    <t>SPOB Wavin 1</t>
  </si>
  <si>
    <t>KM Logistik Nusantara 01</t>
  </si>
  <si>
    <t>TK Insam 02</t>
  </si>
  <si>
    <t>KM Awu</t>
  </si>
  <si>
    <t>KM Sinabung</t>
  </si>
  <si>
    <t>TK Insam 04</t>
  </si>
  <si>
    <t>KM Dorolonda</t>
  </si>
  <si>
    <t>MT Raafiah</t>
  </si>
  <si>
    <t>PERIODE 01 - 31 Januari 2026</t>
  </si>
  <si>
    <t>KM Egon</t>
  </si>
  <si>
    <t>SPOB Hubmar 12</t>
  </si>
  <si>
    <t>KM Lambelu</t>
  </si>
  <si>
    <t>SPOB Royal Rey 350</t>
  </si>
  <si>
    <t>KM Tidar</t>
  </si>
  <si>
    <t>SPOB Petro Energy</t>
  </si>
  <si>
    <t>KM Gunung Dempo</t>
  </si>
  <si>
    <t>KM Nggapulu</t>
  </si>
  <si>
    <t>SPOB Graha Dua Dua</t>
  </si>
  <si>
    <t>KM Kendhaga Nusantara 11</t>
  </si>
  <si>
    <t>KM Leuser</t>
  </si>
  <si>
    <t>KM Bukit Siguntang</t>
  </si>
  <si>
    <t>KM Cemara Nusantara 1</t>
  </si>
  <si>
    <t>LCT Perkasa Prima</t>
  </si>
  <si>
    <t>LCT Christine</t>
  </si>
  <si>
    <t>KM Tilongkabila</t>
  </si>
  <si>
    <t>KM Lawit</t>
  </si>
  <si>
    <t>KM Ciremai</t>
  </si>
  <si>
    <t>KM Kelimutu</t>
  </si>
  <si>
    <t>KM Bukit Raya</t>
  </si>
  <si>
    <t>KM Kelud</t>
  </si>
  <si>
    <t>KM Logistik Nusantara 4</t>
  </si>
  <si>
    <t>KM Kendhaga Nusantara 8</t>
  </si>
  <si>
    <t>Sorong</t>
  </si>
  <si>
    <t>KM Logistik Nusantara 5</t>
  </si>
  <si>
    <t>MT Elok Selatan</t>
  </si>
  <si>
    <t>KM Logistik Nusantara 02</t>
  </si>
  <si>
    <t>SPOB Elisa</t>
  </si>
  <si>
    <t>KM Labobar</t>
  </si>
  <si>
    <t>KM Dobonsolo</t>
  </si>
  <si>
    <t>NO : TH.12.29-10/SPK/2025</t>
  </si>
  <si>
    <t>TOTAL =  80 KAPAL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</si>
</sst>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[$-C09]dd\-mmm\-yy;@"/>
    <numFmt numFmtId="167" formatCode="#,##0.000"/>
    <numFmt numFmtId="168" formatCode="_(* #,##0.000_);_(* \(#,##0.000\);_(* &quot;-&quot;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2" borderId="18" xfId="1" applyFill="1" applyBorder="1" applyAlignment="1">
      <alignment horizontal="center" vertical="center"/>
    </xf>
    <xf numFmtId="0" fontId="10" fillId="2" borderId="15" xfId="1" applyFont="1" applyFill="1" applyBorder="1" applyAlignment="1">
      <alignment vertical="center" wrapText="1"/>
    </xf>
    <xf numFmtId="164" fontId="10" fillId="2" borderId="15" xfId="2" applyNumberFormat="1" applyFont="1" applyFill="1" applyBorder="1" applyAlignment="1">
      <alignment vertical="center"/>
    </xf>
    <xf numFmtId="0" fontId="10" fillId="2" borderId="15" xfId="1" applyFont="1" applyFill="1" applyBorder="1" applyAlignment="1">
      <alignment horizontal="center" vertical="center"/>
    </xf>
    <xf numFmtId="166" fontId="10" fillId="2" borderId="15" xfId="1" applyNumberFormat="1" applyFont="1" applyFill="1" applyBorder="1" applyAlignment="1">
      <alignment horizontal="center" vertical="center"/>
    </xf>
    <xf numFmtId="167" fontId="10" fillId="2" borderId="15" xfId="2" applyNumberFormat="1" applyFont="1" applyFill="1" applyBorder="1" applyAlignment="1">
      <alignment horizontal="right" vertical="center"/>
    </xf>
    <xf numFmtId="168" fontId="1" fillId="2" borderId="15" xfId="3" applyNumberFormat="1" applyFont="1" applyFill="1" applyBorder="1" applyAlignment="1">
      <alignment horizontal="right" vertical="center"/>
    </xf>
    <xf numFmtId="165" fontId="10" fillId="2" borderId="15" xfId="1" applyNumberFormat="1" applyFont="1" applyFill="1" applyBorder="1" applyAlignment="1">
      <alignment horizontal="right" vertical="center"/>
    </xf>
    <xf numFmtId="165" fontId="1" fillId="2" borderId="15" xfId="3" applyNumberFormat="1" applyFont="1" applyFill="1" applyBorder="1" applyAlignment="1">
      <alignment horizontal="right" vertical="center"/>
    </xf>
    <xf numFmtId="2" fontId="1" fillId="2" borderId="15" xfId="1" applyNumberFormat="1" applyFill="1" applyBorder="1" applyAlignment="1">
      <alignment horizontal="center" vertical="center"/>
    </xf>
    <xf numFmtId="2" fontId="1" fillId="2" borderId="16" xfId="1" applyNumberFormat="1" applyFill="1" applyBorder="1" applyAlignment="1">
      <alignment horizontal="center" vertical="center"/>
    </xf>
    <xf numFmtId="0" fontId="1" fillId="2" borderId="0" xfId="1" applyFill="1"/>
    <xf numFmtId="0" fontId="2" fillId="2" borderId="8" xfId="1" applyFont="1" applyFill="1" applyBorder="1" applyAlignment="1">
      <alignment horizontal="left" vertical="center"/>
    </xf>
    <xf numFmtId="0" fontId="2" fillId="2" borderId="15" xfId="1" applyFont="1" applyFill="1" applyBorder="1" applyAlignment="1">
      <alignment horizontal="center" vertical="center"/>
    </xf>
    <xf numFmtId="2" fontId="2" fillId="2" borderId="15" xfId="1" applyNumberFormat="1" applyFont="1" applyFill="1" applyBorder="1" applyAlignment="1">
      <alignment horizontal="center" vertical="center"/>
    </xf>
    <xf numFmtId="2" fontId="2" fillId="2" borderId="22" xfId="1" applyNumberFormat="1" applyFont="1" applyFill="1" applyBorder="1" applyAlignment="1">
      <alignment horizontal="center" vertical="center"/>
    </xf>
    <xf numFmtId="2" fontId="2" fillId="2" borderId="23" xfId="1" applyNumberFormat="1" applyFont="1" applyFill="1" applyBorder="1" applyAlignment="1">
      <alignment horizontal="center" vertical="center"/>
    </xf>
    <xf numFmtId="165" fontId="1" fillId="2" borderId="0" xfId="3" applyNumberFormat="1" applyFont="1" applyFill="1" applyBorder="1" applyAlignment="1">
      <alignment horizontal="right" vertical="center"/>
    </xf>
    <xf numFmtId="2" fontId="1" fillId="2" borderId="0" xfId="1" applyNumberFormat="1" applyFill="1" applyAlignment="1">
      <alignment horizontal="center" vertical="center"/>
    </xf>
    <xf numFmtId="0" fontId="11" fillId="0" borderId="15" xfId="1" applyFont="1" applyBorder="1"/>
    <xf numFmtId="0" fontId="11" fillId="0" borderId="15" xfId="1" applyFont="1" applyBorder="1" applyAlignment="1">
      <alignment horizontal="center"/>
    </xf>
    <xf numFmtId="0" fontId="11" fillId="2" borderId="15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/>
    </xf>
    <xf numFmtId="2" fontId="11" fillId="2" borderId="15" xfId="1" applyNumberFormat="1" applyFont="1" applyFill="1" applyBorder="1" applyAlignment="1">
      <alignment horizontal="center" vertical="center"/>
    </xf>
    <xf numFmtId="2" fontId="11" fillId="2" borderId="15" xfId="1" applyNumberFormat="1" applyFont="1" applyFill="1" applyBorder="1" applyAlignment="1">
      <alignment horizontal="center"/>
    </xf>
    <xf numFmtId="2" fontId="11" fillId="0" borderId="15" xfId="1" applyNumberFormat="1" applyFont="1" applyBorder="1" applyAlignment="1">
      <alignment horizontal="center"/>
    </xf>
    <xf numFmtId="0" fontId="1" fillId="2" borderId="0" xfId="1" applyFill="1" applyAlignment="1">
      <alignment horizontal="left" vertical="center"/>
    </xf>
    <xf numFmtId="0" fontId="2" fillId="2" borderId="0" xfId="1" applyFont="1" applyFill="1"/>
    <xf numFmtId="165" fontId="1" fillId="2" borderId="0" xfId="1" applyNumberFormat="1" applyFill="1"/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165" fontId="6" fillId="2" borderId="15" xfId="1" applyNumberFormat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165" fontId="6" fillId="2" borderId="17" xfId="1" applyNumberFormat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168" fontId="2" fillId="2" borderId="22" xfId="3" applyNumberFormat="1" applyFont="1" applyFill="1" applyBorder="1" applyAlignment="1">
      <alignment vertical="center"/>
    </xf>
    <xf numFmtId="0" fontId="1" fillId="2" borderId="0" xfId="1" quotePrefix="1" applyFill="1"/>
    <xf numFmtId="0" fontId="1" fillId="2" borderId="5" xfId="1" applyFill="1" applyBorder="1"/>
    <xf numFmtId="0" fontId="1" fillId="2" borderId="0" xfId="1" applyFill="1" applyAlignment="1">
      <alignment horizontal="center"/>
    </xf>
    <xf numFmtId="15" fontId="9" fillId="2" borderId="0" xfId="1" applyNumberFormat="1" applyFont="1" applyFill="1" applyAlignment="1">
      <alignment horizontal="center" vertical="center"/>
    </xf>
    <xf numFmtId="0" fontId="1" fillId="2" borderId="24" xfId="1" applyFill="1" applyBorder="1"/>
    <xf numFmtId="0" fontId="11" fillId="2" borderId="18" xfId="1" applyFont="1" applyFill="1" applyBorder="1" applyAlignment="1">
      <alignment horizontal="center" vertical="center"/>
    </xf>
    <xf numFmtId="0" fontId="1" fillId="2" borderId="17" xfId="1" applyFill="1" applyBorder="1" applyAlignment="1">
      <alignment horizontal="left" vertical="center"/>
    </xf>
    <xf numFmtId="0" fontId="1" fillId="2" borderId="17" xfId="1" applyFill="1" applyBorder="1" applyAlignment="1">
      <alignment horizontal="center" vertical="center"/>
    </xf>
    <xf numFmtId="15" fontId="1" fillId="2" borderId="17" xfId="1" applyNumberFormat="1" applyFill="1" applyBorder="1" applyAlignment="1">
      <alignment horizontal="center" vertical="center"/>
    </xf>
    <xf numFmtId="167" fontId="10" fillId="2" borderId="15" xfId="2" applyNumberFormat="1" applyFont="1" applyFill="1" applyBorder="1" applyAlignment="1">
      <alignment horizontal="center" vertical="center"/>
    </xf>
    <xf numFmtId="167" fontId="10" fillId="2" borderId="15" xfId="2" applyNumberFormat="1" applyFont="1" applyFill="1" applyBorder="1" applyAlignment="1">
      <alignment vertical="center"/>
    </xf>
    <xf numFmtId="0" fontId="1" fillId="2" borderId="17" xfId="1" quotePrefix="1" applyFill="1" applyBorder="1" applyAlignment="1">
      <alignment horizontal="left" vertical="center"/>
    </xf>
    <xf numFmtId="0" fontId="1" fillId="2" borderId="17" xfId="1" quotePrefix="1" applyFill="1" applyBorder="1" applyAlignment="1">
      <alignment horizontal="center" vertical="center"/>
    </xf>
    <xf numFmtId="0" fontId="1" fillId="0" borderId="17" xfId="1" applyFill="1" applyBorder="1" applyAlignment="1">
      <alignment horizontal="center" vertical="center"/>
    </xf>
    <xf numFmtId="167" fontId="10" fillId="0" borderId="15" xfId="2" applyNumberFormat="1" applyFont="1" applyFill="1" applyBorder="1" applyAlignment="1">
      <alignment horizontal="right" vertical="center"/>
    </xf>
    <xf numFmtId="15" fontId="1" fillId="0" borderId="17" xfId="1" applyNumberFormat="1" applyFont="1" applyFill="1" applyBorder="1" applyAlignment="1">
      <alignment horizontal="center" vertical="center"/>
    </xf>
    <xf numFmtId="0" fontId="1" fillId="0" borderId="17" xfId="1" applyFill="1" applyBorder="1" applyAlignment="1">
      <alignment horizontal="left" vertical="center"/>
    </xf>
    <xf numFmtId="0" fontId="10" fillId="0" borderId="15" xfId="1" applyFont="1" applyFill="1" applyBorder="1" applyAlignment="1">
      <alignment horizontal="center" vertical="center"/>
    </xf>
    <xf numFmtId="15" fontId="1" fillId="0" borderId="17" xfId="1" applyNumberForma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165" fontId="7" fillId="2" borderId="5" xfId="1" applyNumberFormat="1" applyFont="1" applyFill="1" applyBorder="1" applyAlignment="1">
      <alignment horizontal="center" vertical="center" wrapText="1"/>
    </xf>
    <xf numFmtId="165" fontId="7" fillId="2" borderId="4" xfId="1" applyNumberFormat="1" applyFont="1" applyFill="1" applyBorder="1" applyAlignment="1">
      <alignment horizontal="center" vertical="center" wrapText="1"/>
    </xf>
    <xf numFmtId="165" fontId="7" fillId="2" borderId="12" xfId="1" applyNumberFormat="1" applyFont="1" applyFill="1" applyBorder="1" applyAlignment="1">
      <alignment horizontal="center" vertical="center" wrapText="1"/>
    </xf>
    <xf numFmtId="165" fontId="7" fillId="2" borderId="13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165" fontId="6" fillId="2" borderId="6" xfId="1" applyNumberFormat="1" applyFont="1" applyFill="1" applyBorder="1" applyAlignment="1">
      <alignment horizontal="center" vertical="center" wrapText="1"/>
    </xf>
    <xf numFmtId="165" fontId="6" fillId="2" borderId="15" xfId="1" applyNumberFormat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4" xfId="1" applyNumberFormat="1" applyFont="1" applyFill="1" applyBorder="1" applyAlignment="1">
      <alignment horizontal="center" vertical="center" wrapText="1"/>
    </xf>
  </cellXfs>
  <cellStyles count="4">
    <cellStyle name="Comma [0] 2" xfId="3" xr:uid="{EE39F983-6932-44B5-A641-44C65DB3732F}"/>
    <cellStyle name="Comma 2" xfId="2" xr:uid="{0CC0563E-52DA-4BB9-B689-455D030854B9}"/>
    <cellStyle name="Normal" xfId="0" builtinId="0"/>
    <cellStyle name="Normal 2" xfId="1" xr:uid="{32D3751C-C4D4-4EAD-9D28-7E480F0533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4-4515-8609-052B345BD97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4-4515-8609-052B345BD97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A4-4515-8609-052B345BD97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A4-4515-8609-052B345BD97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A4-4515-8609-052B345BD97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A4-4515-8609-052B345BD97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A4-4515-8609-052B345BD97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A4-4515-8609-052B345BD97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A4-4515-8609-052B345BD97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A4-4515-8609-052B345BD97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A4-4515-8609-052B345BD97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A4-4515-8609-052B345BD978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A4-4515-8609-052B345BD978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2A4-4515-8609-052B345BD978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A4-4515-8609-052B345BD978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2A4-4515-8609-052B345BD978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A4-4515-8609-052B345BD978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2A4-4515-8609-052B345BD978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A4-4515-8609-052B345BD978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2A4-4515-8609-052B345BD978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2A4-4515-8609-052B345BD978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A4-4515-8609-052B345BD978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2A4-4515-8609-052B345BD978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2A4-4515-8609-052B345BD978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2A4-4515-8609-052B345BD978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'BUNKER PELNI Juli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2A4-4515-8609-052B345B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340767"/>
        <c:axId val="1519320127"/>
      </c:barChart>
      <c:catAx>
        <c:axId val="1519340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20127"/>
        <c:crosses val="autoZero"/>
        <c:auto val="1"/>
        <c:lblAlgn val="ctr"/>
        <c:lblOffset val="100"/>
        <c:noMultiLvlLbl val="0"/>
      </c:catAx>
      <c:valAx>
        <c:axId val="151932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4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Graphic Supply Loss (R4)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901635317523889E-2"/>
          <c:y val="0.11775929310354644"/>
          <c:w val="0.84101992576371742"/>
          <c:h val="0.4382120812057502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0"/>
                  <c:y val="-3.7800687285223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C0-774F-B6D3-247360C8FDF6}"/>
                </c:ext>
              </c:extLst>
            </c:dLbl>
            <c:dLbl>
              <c:idx val="4"/>
              <c:layout>
                <c:manualLayout>
                  <c:x val="-3.4026464015406961E-3"/>
                  <c:y val="2.7491408934707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C0-774F-B6D3-247360C8FDF6}"/>
                </c:ext>
              </c:extLst>
            </c:dLbl>
            <c:dLbl>
              <c:idx val="5"/>
              <c:layout>
                <c:manualLayout>
                  <c:x val="-2.2684309343604919E-3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C0-774F-B6D3-247360C8FDF6}"/>
                </c:ext>
              </c:extLst>
            </c:dLbl>
            <c:dLbl>
              <c:idx val="6"/>
              <c:layout>
                <c:manualLayout>
                  <c:x val="-6.8052928030813507E-3"/>
                  <c:y val="2.7491408934707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C0-774F-B6D3-247360C8FDF6}"/>
                </c:ext>
              </c:extLst>
            </c:dLbl>
            <c:dLbl>
              <c:idx val="7"/>
              <c:layout>
                <c:manualLayout>
                  <c:x val="-7.9395082702616183E-3"/>
                  <c:y val="-2.74914089347079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C0-774F-B6D3-247360C8FDF6}"/>
                </c:ext>
              </c:extLst>
            </c:dLbl>
            <c:dLbl>
              <c:idx val="8"/>
              <c:layout>
                <c:manualLayout>
                  <c:x val="-1.0207939204622027E-2"/>
                  <c:y val="3.436426116838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C0-774F-B6D3-247360C8FDF6}"/>
                </c:ext>
              </c:extLst>
            </c:dLbl>
            <c:dLbl>
              <c:idx val="9"/>
              <c:layout>
                <c:manualLayout>
                  <c:x val="-1.1342154671802667E-3"/>
                  <c:y val="1.71821305841924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C0-774F-B6D3-247360C8FDF6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Sheet2!$B$3:$B$82</c:f>
              <c:strCache>
                <c:ptCount val="80"/>
                <c:pt idx="0">
                  <c:v>KM Pangrango</c:v>
                </c:pt>
                <c:pt idx="1">
                  <c:v>KM Sangiang</c:v>
                </c:pt>
                <c:pt idx="2">
                  <c:v>KM Pangrango</c:v>
                </c:pt>
                <c:pt idx="3">
                  <c:v>KM Pangrango</c:v>
                </c:pt>
                <c:pt idx="4">
                  <c:v>KM Sangiang</c:v>
                </c:pt>
                <c:pt idx="5">
                  <c:v>KM Pangrango</c:v>
                </c:pt>
                <c:pt idx="6">
                  <c:v>KM Pangrango</c:v>
                </c:pt>
                <c:pt idx="7">
                  <c:v>KM Sangiang</c:v>
                </c:pt>
                <c:pt idx="8">
                  <c:v>KM Lambelu</c:v>
                </c:pt>
                <c:pt idx="9">
                  <c:v>KM Bukit Siguntang</c:v>
                </c:pt>
                <c:pt idx="10">
                  <c:v>KM Lambelu</c:v>
                </c:pt>
                <c:pt idx="11">
                  <c:v>KM Bukit Siguntang</c:v>
                </c:pt>
                <c:pt idx="12">
                  <c:v>KM Tatamailau</c:v>
                </c:pt>
                <c:pt idx="13">
                  <c:v>KM Sangiang</c:v>
                </c:pt>
                <c:pt idx="14">
                  <c:v>KM Tilongkabila</c:v>
                </c:pt>
                <c:pt idx="15">
                  <c:v>KM Tatamailau</c:v>
                </c:pt>
                <c:pt idx="16">
                  <c:v>KM Sangiang</c:v>
                </c:pt>
                <c:pt idx="17">
                  <c:v>KM Tilongkabila</c:v>
                </c:pt>
                <c:pt idx="18">
                  <c:v>KM Tidar</c:v>
                </c:pt>
                <c:pt idx="19">
                  <c:v>KM Gunung Dempo</c:v>
                </c:pt>
                <c:pt idx="20">
                  <c:v>KM Nggapulu</c:v>
                </c:pt>
                <c:pt idx="21">
                  <c:v>KM Ciremai</c:v>
                </c:pt>
                <c:pt idx="22">
                  <c:v>KM Logistik Nusantara 4</c:v>
                </c:pt>
                <c:pt idx="23">
                  <c:v>KM Kelimutu</c:v>
                </c:pt>
                <c:pt idx="24">
                  <c:v>KM Nggapulu</c:v>
                </c:pt>
                <c:pt idx="25">
                  <c:v>KM Bukit Raya</c:v>
                </c:pt>
                <c:pt idx="26">
                  <c:v>KM Kelud</c:v>
                </c:pt>
                <c:pt idx="27">
                  <c:v>KM Labobar</c:v>
                </c:pt>
                <c:pt idx="28">
                  <c:v>KM Tidar</c:v>
                </c:pt>
                <c:pt idx="29">
                  <c:v>KM Kelud</c:v>
                </c:pt>
                <c:pt idx="30">
                  <c:v>KM Gunung Dempo</c:v>
                </c:pt>
                <c:pt idx="31">
                  <c:v>KM Dobonsolo</c:v>
                </c:pt>
                <c:pt idx="32">
                  <c:v>KM Ciremai</c:v>
                </c:pt>
                <c:pt idx="33">
                  <c:v>KM Kelud</c:v>
                </c:pt>
                <c:pt idx="34">
                  <c:v>KM Bukit Raya</c:v>
                </c:pt>
                <c:pt idx="35">
                  <c:v>KM Kelimutu</c:v>
                </c:pt>
                <c:pt idx="36">
                  <c:v>KM Nggapulu</c:v>
                </c:pt>
                <c:pt idx="37">
                  <c:v>KM Kelud</c:v>
                </c:pt>
                <c:pt idx="38">
                  <c:v>KM Labobar</c:v>
                </c:pt>
                <c:pt idx="39">
                  <c:v>KM Tidar</c:v>
                </c:pt>
                <c:pt idx="40">
                  <c:v>KM Jetliner</c:v>
                </c:pt>
                <c:pt idx="41">
                  <c:v>KM Jetliner</c:v>
                </c:pt>
                <c:pt idx="42">
                  <c:v>KM Jetliner</c:v>
                </c:pt>
                <c:pt idx="43">
                  <c:v>KM Jetliner</c:v>
                </c:pt>
                <c:pt idx="44">
                  <c:v>KM Jetliner</c:v>
                </c:pt>
                <c:pt idx="45">
                  <c:v>KM Jetliner</c:v>
                </c:pt>
                <c:pt idx="46">
                  <c:v>KM Jetliner</c:v>
                </c:pt>
                <c:pt idx="47">
                  <c:v>KM Jetliner</c:v>
                </c:pt>
                <c:pt idx="48">
                  <c:v>KM Sirimau</c:v>
                </c:pt>
                <c:pt idx="49">
                  <c:v>KM Wilis</c:v>
                </c:pt>
                <c:pt idx="50">
                  <c:v>KM Kendhaga Nusantara 11</c:v>
                </c:pt>
                <c:pt idx="51">
                  <c:v>KM Cemara Nusantara 1</c:v>
                </c:pt>
                <c:pt idx="52">
                  <c:v>KM Sirimau</c:v>
                </c:pt>
                <c:pt idx="53">
                  <c:v>KM Wilis</c:v>
                </c:pt>
                <c:pt idx="54">
                  <c:v>KM Sirimau</c:v>
                </c:pt>
                <c:pt idx="55">
                  <c:v>KM Binaiya</c:v>
                </c:pt>
                <c:pt idx="56">
                  <c:v>KM Leuser</c:v>
                </c:pt>
                <c:pt idx="57">
                  <c:v>KM Tidar</c:v>
                </c:pt>
                <c:pt idx="58">
                  <c:v>KM Binaiya</c:v>
                </c:pt>
                <c:pt idx="59">
                  <c:v>KM Tidar</c:v>
                </c:pt>
                <c:pt idx="60">
                  <c:v>KM Kendhaga Nusantara 8</c:v>
                </c:pt>
                <c:pt idx="61">
                  <c:v>KM Lawit</c:v>
                </c:pt>
                <c:pt idx="62">
                  <c:v>KM Awu</c:v>
                </c:pt>
                <c:pt idx="63">
                  <c:v>KM Sinabung</c:v>
                </c:pt>
                <c:pt idx="64">
                  <c:v>KM Dorolonda</c:v>
                </c:pt>
                <c:pt idx="65">
                  <c:v>KM Egon</c:v>
                </c:pt>
                <c:pt idx="66">
                  <c:v>KM Awu</c:v>
                </c:pt>
                <c:pt idx="67">
                  <c:v>KM Leuser</c:v>
                </c:pt>
                <c:pt idx="68">
                  <c:v>KM Egon</c:v>
                </c:pt>
                <c:pt idx="69">
                  <c:v>KM Lawit</c:v>
                </c:pt>
                <c:pt idx="70">
                  <c:v>KM Logistik Nusantara 01</c:v>
                </c:pt>
                <c:pt idx="71">
                  <c:v>KM Dorolonda</c:v>
                </c:pt>
                <c:pt idx="72">
                  <c:v>KM Egon</c:v>
                </c:pt>
                <c:pt idx="73">
                  <c:v>KM Sinabung</c:v>
                </c:pt>
                <c:pt idx="74">
                  <c:v>KM Logistik Nusantara 5</c:v>
                </c:pt>
                <c:pt idx="75">
                  <c:v>KM Tatamailau</c:v>
                </c:pt>
                <c:pt idx="76">
                  <c:v>KM Egon</c:v>
                </c:pt>
                <c:pt idx="77">
                  <c:v>KM Logistik Nusantara 02</c:v>
                </c:pt>
                <c:pt idx="78">
                  <c:v>KM Lawit</c:v>
                </c:pt>
                <c:pt idx="79">
                  <c:v>KM Sinabung</c:v>
                </c:pt>
              </c:strCache>
            </c:strRef>
          </c:cat>
          <c:val>
            <c:numRef>
              <c:f>Sheet2!$C$3:$C$82</c:f>
              <c:numCache>
                <c:formatCode>0.00</c:formatCode>
                <c:ptCount val="80"/>
                <c:pt idx="0">
                  <c:v>0.33333333333333809</c:v>
                </c:pt>
                <c:pt idx="1">
                  <c:v>0</c:v>
                </c:pt>
                <c:pt idx="2">
                  <c:v>0.13333333333332575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3.4389866452686582E-3</c:v>
                </c:pt>
                <c:pt idx="9">
                  <c:v>3.1779661016920254E-3</c:v>
                </c:pt>
                <c:pt idx="10">
                  <c:v>7.7438768059756545E-3</c:v>
                </c:pt>
                <c:pt idx="11">
                  <c:v>6.3047727129499102E-3</c:v>
                </c:pt>
                <c:pt idx="12">
                  <c:v>1.156069364162441E-2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1.3207547169713507E-3</c:v>
                </c:pt>
                <c:pt idx="20">
                  <c:v>5.4545454545456614E-3</c:v>
                </c:pt>
                <c:pt idx="21">
                  <c:v>1.3703703703695452E-2</c:v>
                </c:pt>
                <c:pt idx="22">
                  <c:v>3.6363636363642045E-2</c:v>
                </c:pt>
                <c:pt idx="23">
                  <c:v>1.1235955056185524E-2</c:v>
                </c:pt>
                <c:pt idx="24">
                  <c:v>5.0877192982449757E-3</c:v>
                </c:pt>
                <c:pt idx="25">
                  <c:v>2.5842696629209138E-2</c:v>
                </c:pt>
                <c:pt idx="26">
                  <c:v>4.7619047619004307E-3</c:v>
                </c:pt>
                <c:pt idx="27">
                  <c:v>5.6603773584854179E-3</c:v>
                </c:pt>
                <c:pt idx="28">
                  <c:v>0</c:v>
                </c:pt>
                <c:pt idx="29">
                  <c:v>0</c:v>
                </c:pt>
                <c:pt idx="30">
                  <c:v>7.8124999999928957E-4</c:v>
                </c:pt>
                <c:pt idx="31">
                  <c:v>1.3162393162392851E-2</c:v>
                </c:pt>
                <c:pt idx="32">
                  <c:v>1.2037037037047142E-2</c:v>
                </c:pt>
                <c:pt idx="33">
                  <c:v>0</c:v>
                </c:pt>
                <c:pt idx="34">
                  <c:v>4.7222222222226641E-2</c:v>
                </c:pt>
                <c:pt idx="35">
                  <c:v>1.6666666666667298E-2</c:v>
                </c:pt>
                <c:pt idx="36">
                  <c:v>1.1324786324785742E-2</c:v>
                </c:pt>
                <c:pt idx="37">
                  <c:v>9.4736842105266755E-3</c:v>
                </c:pt>
                <c:pt idx="38">
                  <c:v>1.6363636363642148E-2</c:v>
                </c:pt>
                <c:pt idx="39">
                  <c:v>0</c:v>
                </c:pt>
                <c:pt idx="40">
                  <c:v>5.6666666666664874E-2</c:v>
                </c:pt>
                <c:pt idx="41">
                  <c:v>4.8421052631585769E-2</c:v>
                </c:pt>
                <c:pt idx="42">
                  <c:v>0.19333333333333277</c:v>
                </c:pt>
                <c:pt idx="43">
                  <c:v>4.2553191489368355E-2</c:v>
                </c:pt>
                <c:pt idx="44">
                  <c:v>5.6666666666664874E-2</c:v>
                </c:pt>
                <c:pt idx="45">
                  <c:v>4.8421052631585769E-2</c:v>
                </c:pt>
                <c:pt idx="46">
                  <c:v>0.23999999999999136</c:v>
                </c:pt>
                <c:pt idx="47">
                  <c:v>3.8888888888896946E-2</c:v>
                </c:pt>
                <c:pt idx="48">
                  <c:v>-4.1666666666664298E-2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-4.2763157894735344E-2</c:v>
                </c:pt>
                <c:pt idx="53">
                  <c:v>0</c:v>
                </c:pt>
                <c:pt idx="54">
                  <c:v>-5.4166666666664767E-2</c:v>
                </c:pt>
                <c:pt idx="55">
                  <c:v>3.5928143712576209E-2</c:v>
                </c:pt>
                <c:pt idx="56">
                  <c:v>2.8000000000005798E-2</c:v>
                </c:pt>
                <c:pt idx="57">
                  <c:v>1.0526315789479069E-2</c:v>
                </c:pt>
                <c:pt idx="58">
                  <c:v>2.6056338028173337E-2</c:v>
                </c:pt>
                <c:pt idx="59">
                  <c:v>1.3513513513516588E-2</c:v>
                </c:pt>
                <c:pt idx="60">
                  <c:v>-3.5294117647060162E-2</c:v>
                </c:pt>
                <c:pt idx="61">
                  <c:v>1.1111111111101005E-2</c:v>
                </c:pt>
                <c:pt idx="62">
                  <c:v>-0.14285714285713474</c:v>
                </c:pt>
                <c:pt idx="63">
                  <c:v>7.6923076923006966E-3</c:v>
                </c:pt>
                <c:pt idx="64">
                  <c:v>7.01754385964274E-3</c:v>
                </c:pt>
                <c:pt idx="65">
                  <c:v>9.6103896103893596E-2</c:v>
                </c:pt>
                <c:pt idx="66">
                  <c:v>-6.0606060606057159E-2</c:v>
                </c:pt>
                <c:pt idx="67">
                  <c:v>0</c:v>
                </c:pt>
                <c:pt idx="68">
                  <c:v>5.5172413793112073E-2</c:v>
                </c:pt>
                <c:pt idx="69">
                  <c:v>6.2499999999943165E-3</c:v>
                </c:pt>
                <c:pt idx="70">
                  <c:v>0.12268518518517887</c:v>
                </c:pt>
                <c:pt idx="71">
                  <c:v>1.8965517241381662E-2</c:v>
                </c:pt>
                <c:pt idx="72">
                  <c:v>6.6666666666662877E-2</c:v>
                </c:pt>
                <c:pt idx="73">
                  <c:v>4.3478260869525675E-3</c:v>
                </c:pt>
                <c:pt idx="74">
                  <c:v>1.5625000000007994E-2</c:v>
                </c:pt>
                <c:pt idx="75">
                  <c:v>0</c:v>
                </c:pt>
                <c:pt idx="76">
                  <c:v>0</c:v>
                </c:pt>
                <c:pt idx="77">
                  <c:v>9.8684210526226047E-3</c:v>
                </c:pt>
                <c:pt idx="78">
                  <c:v>2.1126760563381083E-2</c:v>
                </c:pt>
                <c:pt idx="79">
                  <c:v>3.8333333333374262E-3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6-4E0B-B41E-D4A7D7D7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391919504"/>
        <c:axId val="1"/>
      </c:lineChart>
      <c:catAx>
        <c:axId val="39191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91919504"/>
        <c:crosses val="autoZero"/>
        <c:crossBetween val="between"/>
      </c:valAx>
      <c:spPr>
        <a:ln w="25400">
          <a:noFill/>
        </a:ln>
      </c:spPr>
    </c:plotArea>
    <c:legend>
      <c:legendPos val="r"/>
      <c:layout>
        <c:manualLayout>
          <c:xMode val="edge"/>
          <c:yMode val="edge"/>
          <c:x val="0.89553401761731244"/>
          <c:y val="0.45394764184307812"/>
          <c:w val="8.554128824239754E-2"/>
          <c:h val="7.5657940307179691E-2"/>
        </c:manualLayout>
      </c:layout>
      <c:overlay val="0"/>
      <c:spPr>
        <a:noFill/>
        <a:ln w="25400">
          <a:noFill/>
        </a:ln>
      </c:sp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D70E10-582D-420F-B03A-AA8F19134AC8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628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45C25-7CF5-10E0-BD98-A65178930C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1</xdr:col>
      <xdr:colOff>576150</xdr:colOff>
      <xdr:row>4</xdr:row>
      <xdr:rowOff>48891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612060-48F9-4DE4-81AA-78A47FE3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900000" cy="620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38100</xdr:rowOff>
    </xdr:from>
    <xdr:to>
      <xdr:col>18</xdr:col>
      <xdr:colOff>228600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8B131-B32F-4AB2-AE19-C6197CE8A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32F5-E040-43D3-A64F-9B0B67E973D8}">
  <sheetPr codeName="Sheet1">
    <tabColor rgb="FF00B050"/>
  </sheetPr>
  <dimension ref="A2:EPW105"/>
  <sheetViews>
    <sheetView showGridLines="0" tabSelected="1" view="pageBreakPreview" topLeftCell="D1" zoomScaleNormal="100" zoomScaleSheetLayoutView="62" workbookViewId="0">
      <pane ySplit="11" topLeftCell="A47" activePane="bottomLeft" state="frozen"/>
      <selection pane="bottomLeft" activeCell="J62" sqref="J62"/>
    </sheetView>
  </sheetViews>
  <sheetFormatPr baseColWidth="10" defaultColWidth="8.83203125" defaultRowHeight="13" x14ac:dyDescent="0.15"/>
  <cols>
    <col min="1" max="1" width="5.5" style="14" customWidth="1"/>
    <col min="2" max="2" width="21.6640625" style="29" customWidth="1"/>
    <col min="3" max="3" width="19.1640625" style="29" customWidth="1"/>
    <col min="4" max="4" width="15" style="14" customWidth="1"/>
    <col min="5" max="5" width="12.5" style="14" customWidth="1"/>
    <col min="6" max="6" width="13.83203125" style="14" customWidth="1"/>
    <col min="7" max="8" width="17.83203125" style="14" bestFit="1" customWidth="1"/>
    <col min="9" max="9" width="13.83203125" style="14" customWidth="1"/>
    <col min="10" max="10" width="12.83203125" style="14" customWidth="1"/>
    <col min="11" max="12" width="13" style="14" customWidth="1"/>
    <col min="13" max="14" width="13.1640625" style="14" customWidth="1"/>
    <col min="15" max="16" width="13" style="14" customWidth="1"/>
    <col min="17" max="19" width="13.1640625" style="14" customWidth="1"/>
    <col min="20" max="20" width="13.5" style="14" customWidth="1"/>
    <col min="21" max="21" width="13.1640625" style="14" bestFit="1" customWidth="1"/>
    <col min="22" max="22" width="12.1640625" style="31" customWidth="1"/>
    <col min="23" max="23" width="13" style="14" customWidth="1"/>
    <col min="24" max="24" width="7.5" style="14" customWidth="1"/>
    <col min="25" max="25" width="16" style="14" customWidth="1"/>
    <col min="26" max="26" width="11" style="14" customWidth="1"/>
    <col min="27" max="27" width="9.5" style="14" customWidth="1"/>
    <col min="28" max="28" width="9.1640625" style="14" customWidth="1"/>
    <col min="29" max="259" width="8.83203125" style="14"/>
    <col min="260" max="260" width="5.5" style="14" customWidth="1"/>
    <col min="261" max="261" width="34.5" style="14" customWidth="1"/>
    <col min="262" max="262" width="30" style="14" customWidth="1"/>
    <col min="263" max="263" width="15" style="14" customWidth="1"/>
    <col min="264" max="264" width="12.5" style="14" customWidth="1"/>
    <col min="265" max="265" width="13.83203125" style="14" customWidth="1"/>
    <col min="266" max="266" width="12.83203125" style="14" customWidth="1"/>
    <col min="267" max="268" width="13" style="14" customWidth="1"/>
    <col min="269" max="270" width="13.1640625" style="14" customWidth="1"/>
    <col min="271" max="272" width="13" style="14" customWidth="1"/>
    <col min="273" max="275" width="13.1640625" style="14" customWidth="1"/>
    <col min="276" max="276" width="13.5" style="14" customWidth="1"/>
    <col min="277" max="278" width="12.1640625" style="14" customWidth="1"/>
    <col min="279" max="279" width="13" style="14" customWidth="1"/>
    <col min="280" max="280" width="7.5" style="14" customWidth="1"/>
    <col min="281" max="281" width="16" style="14" customWidth="1"/>
    <col min="282" max="282" width="11" style="14" customWidth="1"/>
    <col min="283" max="283" width="9.5" style="14" customWidth="1"/>
    <col min="284" max="284" width="9.1640625" style="14" customWidth="1"/>
    <col min="285" max="515" width="8.83203125" style="14"/>
    <col min="516" max="516" width="5.5" style="14" customWidth="1"/>
    <col min="517" max="517" width="34.5" style="14" customWidth="1"/>
    <col min="518" max="518" width="30" style="14" customWidth="1"/>
    <col min="519" max="519" width="15" style="14" customWidth="1"/>
    <col min="520" max="520" width="12.5" style="14" customWidth="1"/>
    <col min="521" max="521" width="13.83203125" style="14" customWidth="1"/>
    <col min="522" max="522" width="12.83203125" style="14" customWidth="1"/>
    <col min="523" max="524" width="13" style="14" customWidth="1"/>
    <col min="525" max="526" width="13.1640625" style="14" customWidth="1"/>
    <col min="527" max="528" width="13" style="14" customWidth="1"/>
    <col min="529" max="531" width="13.1640625" style="14" customWidth="1"/>
    <col min="532" max="532" width="13.5" style="14" customWidth="1"/>
    <col min="533" max="534" width="12.1640625" style="14" customWidth="1"/>
    <col min="535" max="535" width="13" style="14" customWidth="1"/>
    <col min="536" max="536" width="7.5" style="14" customWidth="1"/>
    <col min="537" max="537" width="16" style="14" customWidth="1"/>
    <col min="538" max="538" width="11" style="14" customWidth="1"/>
    <col min="539" max="539" width="9.5" style="14" customWidth="1"/>
    <col min="540" max="540" width="9.1640625" style="14" customWidth="1"/>
    <col min="541" max="771" width="8.83203125" style="14"/>
    <col min="772" max="772" width="5.5" style="14" customWidth="1"/>
    <col min="773" max="773" width="34.5" style="14" customWidth="1"/>
    <col min="774" max="774" width="30" style="14" customWidth="1"/>
    <col min="775" max="775" width="15" style="14" customWidth="1"/>
    <col min="776" max="776" width="12.5" style="14" customWidth="1"/>
    <col min="777" max="777" width="13.83203125" style="14" customWidth="1"/>
    <col min="778" max="778" width="12.83203125" style="14" customWidth="1"/>
    <col min="779" max="780" width="13" style="14" customWidth="1"/>
    <col min="781" max="782" width="13.1640625" style="14" customWidth="1"/>
    <col min="783" max="784" width="13" style="14" customWidth="1"/>
    <col min="785" max="787" width="13.1640625" style="14" customWidth="1"/>
    <col min="788" max="788" width="13.5" style="14" customWidth="1"/>
    <col min="789" max="790" width="12.1640625" style="14" customWidth="1"/>
    <col min="791" max="791" width="13" style="14" customWidth="1"/>
    <col min="792" max="792" width="7.5" style="14" customWidth="1"/>
    <col min="793" max="793" width="16" style="14" customWidth="1"/>
    <col min="794" max="794" width="11" style="14" customWidth="1"/>
    <col min="795" max="795" width="9.5" style="14" customWidth="1"/>
    <col min="796" max="796" width="9.1640625" style="14" customWidth="1"/>
    <col min="797" max="1027" width="8.83203125" style="14"/>
    <col min="1028" max="1028" width="5.5" style="14" customWidth="1"/>
    <col min="1029" max="1029" width="34.5" style="14" customWidth="1"/>
    <col min="1030" max="1030" width="30" style="14" customWidth="1"/>
    <col min="1031" max="1031" width="15" style="14" customWidth="1"/>
    <col min="1032" max="1032" width="12.5" style="14" customWidth="1"/>
    <col min="1033" max="1033" width="13.83203125" style="14" customWidth="1"/>
    <col min="1034" max="1034" width="12.83203125" style="14" customWidth="1"/>
    <col min="1035" max="1036" width="13" style="14" customWidth="1"/>
    <col min="1037" max="1038" width="13.1640625" style="14" customWidth="1"/>
    <col min="1039" max="1040" width="13" style="14" customWidth="1"/>
    <col min="1041" max="1043" width="13.1640625" style="14" customWidth="1"/>
    <col min="1044" max="1044" width="13.5" style="14" customWidth="1"/>
    <col min="1045" max="1046" width="12.1640625" style="14" customWidth="1"/>
    <col min="1047" max="1047" width="13" style="14" customWidth="1"/>
    <col min="1048" max="1048" width="7.5" style="14" customWidth="1"/>
    <col min="1049" max="1049" width="16" style="14" customWidth="1"/>
    <col min="1050" max="1050" width="11" style="14" customWidth="1"/>
    <col min="1051" max="1051" width="9.5" style="14" customWidth="1"/>
    <col min="1052" max="1052" width="9.1640625" style="14" customWidth="1"/>
    <col min="1053" max="1283" width="8.83203125" style="14"/>
    <col min="1284" max="1284" width="5.5" style="14" customWidth="1"/>
    <col min="1285" max="1285" width="34.5" style="14" customWidth="1"/>
    <col min="1286" max="1286" width="30" style="14" customWidth="1"/>
    <col min="1287" max="1287" width="15" style="14" customWidth="1"/>
    <col min="1288" max="1288" width="12.5" style="14" customWidth="1"/>
    <col min="1289" max="1289" width="13.83203125" style="14" customWidth="1"/>
    <col min="1290" max="1290" width="12.83203125" style="14" customWidth="1"/>
    <col min="1291" max="1292" width="13" style="14" customWidth="1"/>
    <col min="1293" max="1294" width="13.1640625" style="14" customWidth="1"/>
    <col min="1295" max="1296" width="13" style="14" customWidth="1"/>
    <col min="1297" max="1299" width="13.1640625" style="14" customWidth="1"/>
    <col min="1300" max="1300" width="13.5" style="14" customWidth="1"/>
    <col min="1301" max="1302" width="12.1640625" style="14" customWidth="1"/>
    <col min="1303" max="1303" width="13" style="14" customWidth="1"/>
    <col min="1304" max="1304" width="7.5" style="14" customWidth="1"/>
    <col min="1305" max="1305" width="16" style="14" customWidth="1"/>
    <col min="1306" max="1306" width="11" style="14" customWidth="1"/>
    <col min="1307" max="1307" width="9.5" style="14" customWidth="1"/>
    <col min="1308" max="1308" width="9.1640625" style="14" customWidth="1"/>
    <col min="1309" max="1539" width="8.83203125" style="14"/>
    <col min="1540" max="1540" width="5.5" style="14" customWidth="1"/>
    <col min="1541" max="1541" width="34.5" style="14" customWidth="1"/>
    <col min="1542" max="1542" width="30" style="14" customWidth="1"/>
    <col min="1543" max="1543" width="15" style="14" customWidth="1"/>
    <col min="1544" max="1544" width="12.5" style="14" customWidth="1"/>
    <col min="1545" max="1545" width="13.83203125" style="14" customWidth="1"/>
    <col min="1546" max="1546" width="12.83203125" style="14" customWidth="1"/>
    <col min="1547" max="1548" width="13" style="14" customWidth="1"/>
    <col min="1549" max="1550" width="13.1640625" style="14" customWidth="1"/>
    <col min="1551" max="1552" width="13" style="14" customWidth="1"/>
    <col min="1553" max="1555" width="13.1640625" style="14" customWidth="1"/>
    <col min="1556" max="1556" width="13.5" style="14" customWidth="1"/>
    <col min="1557" max="1558" width="12.1640625" style="14" customWidth="1"/>
    <col min="1559" max="1559" width="13" style="14" customWidth="1"/>
    <col min="1560" max="1560" width="7.5" style="14" customWidth="1"/>
    <col min="1561" max="1561" width="16" style="14" customWidth="1"/>
    <col min="1562" max="1562" width="11" style="14" customWidth="1"/>
    <col min="1563" max="1563" width="9.5" style="14" customWidth="1"/>
    <col min="1564" max="1564" width="9.1640625" style="14" customWidth="1"/>
    <col min="1565" max="1795" width="8.83203125" style="14"/>
    <col min="1796" max="1796" width="5.5" style="14" customWidth="1"/>
    <col min="1797" max="1797" width="34.5" style="14" customWidth="1"/>
    <col min="1798" max="1798" width="30" style="14" customWidth="1"/>
    <col min="1799" max="1799" width="15" style="14" customWidth="1"/>
    <col min="1800" max="1800" width="12.5" style="14" customWidth="1"/>
    <col min="1801" max="1801" width="13.83203125" style="14" customWidth="1"/>
    <col min="1802" max="1802" width="12.83203125" style="14" customWidth="1"/>
    <col min="1803" max="1804" width="13" style="14" customWidth="1"/>
    <col min="1805" max="1806" width="13.1640625" style="14" customWidth="1"/>
    <col min="1807" max="1808" width="13" style="14" customWidth="1"/>
    <col min="1809" max="1811" width="13.1640625" style="14" customWidth="1"/>
    <col min="1812" max="1812" width="13.5" style="14" customWidth="1"/>
    <col min="1813" max="1814" width="12.1640625" style="14" customWidth="1"/>
    <col min="1815" max="1815" width="13" style="14" customWidth="1"/>
    <col min="1816" max="1816" width="7.5" style="14" customWidth="1"/>
    <col min="1817" max="1817" width="16" style="14" customWidth="1"/>
    <col min="1818" max="1818" width="11" style="14" customWidth="1"/>
    <col min="1819" max="1819" width="9.5" style="14" customWidth="1"/>
    <col min="1820" max="1820" width="9.1640625" style="14" customWidth="1"/>
    <col min="1821" max="2051" width="8.83203125" style="14"/>
    <col min="2052" max="2052" width="5.5" style="14" customWidth="1"/>
    <col min="2053" max="2053" width="34.5" style="14" customWidth="1"/>
    <col min="2054" max="2054" width="30" style="14" customWidth="1"/>
    <col min="2055" max="2055" width="15" style="14" customWidth="1"/>
    <col min="2056" max="2056" width="12.5" style="14" customWidth="1"/>
    <col min="2057" max="2057" width="13.83203125" style="14" customWidth="1"/>
    <col min="2058" max="2058" width="12.83203125" style="14" customWidth="1"/>
    <col min="2059" max="2060" width="13" style="14" customWidth="1"/>
    <col min="2061" max="2062" width="13.1640625" style="14" customWidth="1"/>
    <col min="2063" max="2064" width="13" style="14" customWidth="1"/>
    <col min="2065" max="2067" width="13.1640625" style="14" customWidth="1"/>
    <col min="2068" max="2068" width="13.5" style="14" customWidth="1"/>
    <col min="2069" max="2070" width="12.1640625" style="14" customWidth="1"/>
    <col min="2071" max="2071" width="13" style="14" customWidth="1"/>
    <col min="2072" max="2072" width="7.5" style="14" customWidth="1"/>
    <col min="2073" max="2073" width="16" style="14" customWidth="1"/>
    <col min="2074" max="2074" width="11" style="14" customWidth="1"/>
    <col min="2075" max="2075" width="9.5" style="14" customWidth="1"/>
    <col min="2076" max="2076" width="9.1640625" style="14" customWidth="1"/>
    <col min="2077" max="2307" width="8.83203125" style="14"/>
    <col min="2308" max="2308" width="5.5" style="14" customWidth="1"/>
    <col min="2309" max="2309" width="34.5" style="14" customWidth="1"/>
    <col min="2310" max="2310" width="30" style="14" customWidth="1"/>
    <col min="2311" max="2311" width="15" style="14" customWidth="1"/>
    <col min="2312" max="2312" width="12.5" style="14" customWidth="1"/>
    <col min="2313" max="2313" width="13.83203125" style="14" customWidth="1"/>
    <col min="2314" max="2314" width="12.83203125" style="14" customWidth="1"/>
    <col min="2315" max="2316" width="13" style="14" customWidth="1"/>
    <col min="2317" max="2318" width="13.1640625" style="14" customWidth="1"/>
    <col min="2319" max="2320" width="13" style="14" customWidth="1"/>
    <col min="2321" max="2323" width="13.1640625" style="14" customWidth="1"/>
    <col min="2324" max="2324" width="13.5" style="14" customWidth="1"/>
    <col min="2325" max="2326" width="12.1640625" style="14" customWidth="1"/>
    <col min="2327" max="2327" width="13" style="14" customWidth="1"/>
    <col min="2328" max="2328" width="7.5" style="14" customWidth="1"/>
    <col min="2329" max="2329" width="16" style="14" customWidth="1"/>
    <col min="2330" max="2330" width="11" style="14" customWidth="1"/>
    <col min="2331" max="2331" width="9.5" style="14" customWidth="1"/>
    <col min="2332" max="2332" width="9.1640625" style="14" customWidth="1"/>
    <col min="2333" max="2563" width="8.83203125" style="14"/>
    <col min="2564" max="2564" width="5.5" style="14" customWidth="1"/>
    <col min="2565" max="2565" width="34.5" style="14" customWidth="1"/>
    <col min="2566" max="2566" width="30" style="14" customWidth="1"/>
    <col min="2567" max="2567" width="15" style="14" customWidth="1"/>
    <col min="2568" max="2568" width="12.5" style="14" customWidth="1"/>
    <col min="2569" max="2569" width="13.83203125" style="14" customWidth="1"/>
    <col min="2570" max="2570" width="12.83203125" style="14" customWidth="1"/>
    <col min="2571" max="2572" width="13" style="14" customWidth="1"/>
    <col min="2573" max="2574" width="13.1640625" style="14" customWidth="1"/>
    <col min="2575" max="2576" width="13" style="14" customWidth="1"/>
    <col min="2577" max="2579" width="13.1640625" style="14" customWidth="1"/>
    <col min="2580" max="2580" width="13.5" style="14" customWidth="1"/>
    <col min="2581" max="2582" width="12.1640625" style="14" customWidth="1"/>
    <col min="2583" max="2583" width="13" style="14" customWidth="1"/>
    <col min="2584" max="2584" width="7.5" style="14" customWidth="1"/>
    <col min="2585" max="2585" width="16" style="14" customWidth="1"/>
    <col min="2586" max="2586" width="11" style="14" customWidth="1"/>
    <col min="2587" max="2587" width="9.5" style="14" customWidth="1"/>
    <col min="2588" max="2588" width="9.1640625" style="14" customWidth="1"/>
    <col min="2589" max="2819" width="8.83203125" style="14"/>
    <col min="2820" max="2820" width="5.5" style="14" customWidth="1"/>
    <col min="2821" max="2821" width="34.5" style="14" customWidth="1"/>
    <col min="2822" max="2822" width="30" style="14" customWidth="1"/>
    <col min="2823" max="2823" width="15" style="14" customWidth="1"/>
    <col min="2824" max="2824" width="12.5" style="14" customWidth="1"/>
    <col min="2825" max="2825" width="13.83203125" style="14" customWidth="1"/>
    <col min="2826" max="2826" width="12.83203125" style="14" customWidth="1"/>
    <col min="2827" max="2828" width="13" style="14" customWidth="1"/>
    <col min="2829" max="2830" width="13.1640625" style="14" customWidth="1"/>
    <col min="2831" max="2832" width="13" style="14" customWidth="1"/>
    <col min="2833" max="2835" width="13.1640625" style="14" customWidth="1"/>
    <col min="2836" max="2836" width="13.5" style="14" customWidth="1"/>
    <col min="2837" max="2838" width="12.1640625" style="14" customWidth="1"/>
    <col min="2839" max="2839" width="13" style="14" customWidth="1"/>
    <col min="2840" max="2840" width="7.5" style="14" customWidth="1"/>
    <col min="2841" max="2841" width="16" style="14" customWidth="1"/>
    <col min="2842" max="2842" width="11" style="14" customWidth="1"/>
    <col min="2843" max="2843" width="9.5" style="14" customWidth="1"/>
    <col min="2844" max="2844" width="9.1640625" style="14" customWidth="1"/>
    <col min="2845" max="3075" width="8.83203125" style="14"/>
    <col min="3076" max="3076" width="5.5" style="14" customWidth="1"/>
    <col min="3077" max="3077" width="34.5" style="14" customWidth="1"/>
    <col min="3078" max="3078" width="30" style="14" customWidth="1"/>
    <col min="3079" max="3079" width="15" style="14" customWidth="1"/>
    <col min="3080" max="3080" width="12.5" style="14" customWidth="1"/>
    <col min="3081" max="3081" width="13.83203125" style="14" customWidth="1"/>
    <col min="3082" max="3082" width="12.83203125" style="14" customWidth="1"/>
    <col min="3083" max="3084" width="13" style="14" customWidth="1"/>
    <col min="3085" max="3086" width="13.1640625" style="14" customWidth="1"/>
    <col min="3087" max="3088" width="13" style="14" customWidth="1"/>
    <col min="3089" max="3091" width="13.1640625" style="14" customWidth="1"/>
    <col min="3092" max="3092" width="13.5" style="14" customWidth="1"/>
    <col min="3093" max="3094" width="12.1640625" style="14" customWidth="1"/>
    <col min="3095" max="3095" width="13" style="14" customWidth="1"/>
    <col min="3096" max="3096" width="7.5" style="14" customWidth="1"/>
    <col min="3097" max="3097" width="16" style="14" customWidth="1"/>
    <col min="3098" max="3098" width="11" style="14" customWidth="1"/>
    <col min="3099" max="3099" width="9.5" style="14" customWidth="1"/>
    <col min="3100" max="3100" width="9.1640625" style="14" customWidth="1"/>
    <col min="3101" max="3331" width="8.83203125" style="14"/>
    <col min="3332" max="3332" width="5.5" style="14" customWidth="1"/>
    <col min="3333" max="3333" width="34.5" style="14" customWidth="1"/>
    <col min="3334" max="3334" width="30" style="14" customWidth="1"/>
    <col min="3335" max="3335" width="15" style="14" customWidth="1"/>
    <col min="3336" max="3336" width="12.5" style="14" customWidth="1"/>
    <col min="3337" max="3337" width="13.83203125" style="14" customWidth="1"/>
    <col min="3338" max="3338" width="12.83203125" style="14" customWidth="1"/>
    <col min="3339" max="3340" width="13" style="14" customWidth="1"/>
    <col min="3341" max="3342" width="13.1640625" style="14" customWidth="1"/>
    <col min="3343" max="3344" width="13" style="14" customWidth="1"/>
    <col min="3345" max="3347" width="13.1640625" style="14" customWidth="1"/>
    <col min="3348" max="3348" width="13.5" style="14" customWidth="1"/>
    <col min="3349" max="3350" width="12.1640625" style="14" customWidth="1"/>
    <col min="3351" max="3351" width="13" style="14" customWidth="1"/>
    <col min="3352" max="3352" width="7.5" style="14" customWidth="1"/>
    <col min="3353" max="3353" width="16" style="14" customWidth="1"/>
    <col min="3354" max="3354" width="11" style="14" customWidth="1"/>
    <col min="3355" max="3355" width="9.5" style="14" customWidth="1"/>
    <col min="3356" max="3356" width="9.1640625" style="14" customWidth="1"/>
    <col min="3357" max="3587" width="8.83203125" style="14"/>
    <col min="3588" max="3588" width="5.5" style="14" customWidth="1"/>
    <col min="3589" max="3589" width="34.5" style="14" customWidth="1"/>
    <col min="3590" max="3590" width="30" style="14" customWidth="1"/>
    <col min="3591" max="3591" width="15" style="14" customWidth="1"/>
    <col min="3592" max="3592" width="12.5" style="14" customWidth="1"/>
    <col min="3593" max="3593" width="13.83203125" style="14" customWidth="1"/>
    <col min="3594" max="3594" width="12.83203125" style="14" customWidth="1"/>
    <col min="3595" max="3596" width="13" style="14" customWidth="1"/>
    <col min="3597" max="3598" width="13.1640625" style="14" customWidth="1"/>
    <col min="3599" max="3600" width="13" style="14" customWidth="1"/>
    <col min="3601" max="3603" width="13.1640625" style="14" customWidth="1"/>
    <col min="3604" max="3604" width="13.5" style="14" customWidth="1"/>
    <col min="3605" max="3606" width="12.1640625" style="14" customWidth="1"/>
    <col min="3607" max="3607" width="13" style="14" customWidth="1"/>
    <col min="3608" max="3608" width="7.5" style="14" customWidth="1"/>
    <col min="3609" max="3609" width="16" style="14" customWidth="1"/>
    <col min="3610" max="3610" width="11" style="14" customWidth="1"/>
    <col min="3611" max="3611" width="9.5" style="14" customWidth="1"/>
    <col min="3612" max="3612" width="9.1640625" style="14" customWidth="1"/>
    <col min="3613" max="3843" width="8.83203125" style="14"/>
    <col min="3844" max="3844" width="5.5" style="14" customWidth="1"/>
    <col min="3845" max="3845" width="34.5" style="14" customWidth="1"/>
    <col min="3846" max="3846" width="30" style="14" customWidth="1"/>
    <col min="3847" max="3847" width="15" style="14" customWidth="1"/>
    <col min="3848" max="3848" width="12.5" style="14" customWidth="1"/>
    <col min="3849" max="3849" width="13.83203125" style="14" customWidth="1"/>
    <col min="3850" max="3850" width="12.83203125" style="14" customWidth="1"/>
    <col min="3851" max="3852" width="13" style="14" customWidth="1"/>
    <col min="3853" max="3854" width="13.1640625" style="14" customWidth="1"/>
    <col min="3855" max="3856" width="13" style="14" customWidth="1"/>
    <col min="3857" max="3859" width="13.1640625" style="14" customWidth="1"/>
    <col min="3860" max="3860" width="13.5" style="14" customWidth="1"/>
    <col min="3861" max="3862" width="12.1640625" style="14" customWidth="1"/>
    <col min="3863" max="3863" width="13" style="14" customWidth="1"/>
    <col min="3864" max="3864" width="7.5" style="14" customWidth="1"/>
    <col min="3865" max="3865" width="16" style="14" customWidth="1"/>
    <col min="3866" max="3866" width="11" style="14" customWidth="1"/>
    <col min="3867" max="3867" width="9.5" style="14" customWidth="1"/>
    <col min="3868" max="3868" width="9.1640625" style="14" customWidth="1"/>
    <col min="3869" max="4099" width="8.83203125" style="14"/>
    <col min="4100" max="4100" width="5.5" style="14" customWidth="1"/>
    <col min="4101" max="4101" width="34.5" style="14" customWidth="1"/>
    <col min="4102" max="4102" width="30" style="14" customWidth="1"/>
    <col min="4103" max="4103" width="15" style="14" customWidth="1"/>
    <col min="4104" max="4104" width="12.5" style="14" customWidth="1"/>
    <col min="4105" max="4105" width="13.83203125" style="14" customWidth="1"/>
    <col min="4106" max="4106" width="12.83203125" style="14" customWidth="1"/>
    <col min="4107" max="4108" width="13" style="14" customWidth="1"/>
    <col min="4109" max="4110" width="13.1640625" style="14" customWidth="1"/>
    <col min="4111" max="4112" width="13" style="14" customWidth="1"/>
    <col min="4113" max="4115" width="13.1640625" style="14" customWidth="1"/>
    <col min="4116" max="4116" width="13.5" style="14" customWidth="1"/>
    <col min="4117" max="4118" width="12.1640625" style="14" customWidth="1"/>
    <col min="4119" max="4119" width="13" style="14" customWidth="1"/>
    <col min="4120" max="4120" width="7.5" style="14" customWidth="1"/>
    <col min="4121" max="4121" width="16" style="14" customWidth="1"/>
    <col min="4122" max="4122" width="11" style="14" customWidth="1"/>
    <col min="4123" max="4123" width="9.5" style="14" customWidth="1"/>
    <col min="4124" max="4124" width="9.1640625" style="14" customWidth="1"/>
    <col min="4125" max="4355" width="8.83203125" style="14"/>
    <col min="4356" max="4356" width="5.5" style="14" customWidth="1"/>
    <col min="4357" max="4357" width="34.5" style="14" customWidth="1"/>
    <col min="4358" max="4358" width="30" style="14" customWidth="1"/>
    <col min="4359" max="4359" width="15" style="14" customWidth="1"/>
    <col min="4360" max="4360" width="12.5" style="14" customWidth="1"/>
    <col min="4361" max="4361" width="13.83203125" style="14" customWidth="1"/>
    <col min="4362" max="4362" width="12.83203125" style="14" customWidth="1"/>
    <col min="4363" max="4364" width="13" style="14" customWidth="1"/>
    <col min="4365" max="4366" width="13.1640625" style="14" customWidth="1"/>
    <col min="4367" max="4368" width="13" style="14" customWidth="1"/>
    <col min="4369" max="4371" width="13.1640625" style="14" customWidth="1"/>
    <col min="4372" max="4372" width="13.5" style="14" customWidth="1"/>
    <col min="4373" max="4374" width="12.1640625" style="14" customWidth="1"/>
    <col min="4375" max="4375" width="13" style="14" customWidth="1"/>
    <col min="4376" max="4376" width="7.5" style="14" customWidth="1"/>
    <col min="4377" max="4377" width="16" style="14" customWidth="1"/>
    <col min="4378" max="4378" width="11" style="14" customWidth="1"/>
    <col min="4379" max="4379" width="9.5" style="14" customWidth="1"/>
    <col min="4380" max="4380" width="9.1640625" style="14" customWidth="1"/>
    <col min="4381" max="4611" width="8.83203125" style="14"/>
    <col min="4612" max="4612" width="5.5" style="14" customWidth="1"/>
    <col min="4613" max="4613" width="34.5" style="14" customWidth="1"/>
    <col min="4614" max="4614" width="30" style="14" customWidth="1"/>
    <col min="4615" max="4615" width="15" style="14" customWidth="1"/>
    <col min="4616" max="4616" width="12.5" style="14" customWidth="1"/>
    <col min="4617" max="4617" width="13.83203125" style="14" customWidth="1"/>
    <col min="4618" max="4618" width="12.83203125" style="14" customWidth="1"/>
    <col min="4619" max="4620" width="13" style="14" customWidth="1"/>
    <col min="4621" max="4622" width="13.1640625" style="14" customWidth="1"/>
    <col min="4623" max="4624" width="13" style="14" customWidth="1"/>
    <col min="4625" max="4627" width="13.1640625" style="14" customWidth="1"/>
    <col min="4628" max="4628" width="13.5" style="14" customWidth="1"/>
    <col min="4629" max="4630" width="12.1640625" style="14" customWidth="1"/>
    <col min="4631" max="4631" width="13" style="14" customWidth="1"/>
    <col min="4632" max="4632" width="7.5" style="14" customWidth="1"/>
    <col min="4633" max="4633" width="16" style="14" customWidth="1"/>
    <col min="4634" max="4634" width="11" style="14" customWidth="1"/>
    <col min="4635" max="4635" width="9.5" style="14" customWidth="1"/>
    <col min="4636" max="4636" width="9.1640625" style="14" customWidth="1"/>
    <col min="4637" max="4867" width="8.83203125" style="14"/>
    <col min="4868" max="4868" width="5.5" style="14" customWidth="1"/>
    <col min="4869" max="4869" width="34.5" style="14" customWidth="1"/>
    <col min="4870" max="4870" width="30" style="14" customWidth="1"/>
    <col min="4871" max="4871" width="15" style="14" customWidth="1"/>
    <col min="4872" max="4872" width="12.5" style="14" customWidth="1"/>
    <col min="4873" max="4873" width="13.83203125" style="14" customWidth="1"/>
    <col min="4874" max="4874" width="12.83203125" style="14" customWidth="1"/>
    <col min="4875" max="4876" width="13" style="14" customWidth="1"/>
    <col min="4877" max="4878" width="13.1640625" style="14" customWidth="1"/>
    <col min="4879" max="4880" width="13" style="14" customWidth="1"/>
    <col min="4881" max="4883" width="13.1640625" style="14" customWidth="1"/>
    <col min="4884" max="4884" width="13.5" style="14" customWidth="1"/>
    <col min="4885" max="4886" width="12.1640625" style="14" customWidth="1"/>
    <col min="4887" max="4887" width="13" style="14" customWidth="1"/>
    <col min="4888" max="4888" width="7.5" style="14" customWidth="1"/>
    <col min="4889" max="4889" width="16" style="14" customWidth="1"/>
    <col min="4890" max="4890" width="11" style="14" customWidth="1"/>
    <col min="4891" max="4891" width="9.5" style="14" customWidth="1"/>
    <col min="4892" max="4892" width="9.1640625" style="14" customWidth="1"/>
    <col min="4893" max="5123" width="8.83203125" style="14"/>
    <col min="5124" max="5124" width="5.5" style="14" customWidth="1"/>
    <col min="5125" max="5125" width="34.5" style="14" customWidth="1"/>
    <col min="5126" max="5126" width="30" style="14" customWidth="1"/>
    <col min="5127" max="5127" width="15" style="14" customWidth="1"/>
    <col min="5128" max="5128" width="12.5" style="14" customWidth="1"/>
    <col min="5129" max="5129" width="13.83203125" style="14" customWidth="1"/>
    <col min="5130" max="5130" width="12.83203125" style="14" customWidth="1"/>
    <col min="5131" max="5132" width="13" style="14" customWidth="1"/>
    <col min="5133" max="5134" width="13.1640625" style="14" customWidth="1"/>
    <col min="5135" max="5136" width="13" style="14" customWidth="1"/>
    <col min="5137" max="5139" width="13.1640625" style="14" customWidth="1"/>
    <col min="5140" max="5140" width="13.5" style="14" customWidth="1"/>
    <col min="5141" max="5142" width="12.1640625" style="14" customWidth="1"/>
    <col min="5143" max="5143" width="13" style="14" customWidth="1"/>
    <col min="5144" max="5144" width="7.5" style="14" customWidth="1"/>
    <col min="5145" max="5145" width="16" style="14" customWidth="1"/>
    <col min="5146" max="5146" width="11" style="14" customWidth="1"/>
    <col min="5147" max="5147" width="9.5" style="14" customWidth="1"/>
    <col min="5148" max="5148" width="9.1640625" style="14" customWidth="1"/>
    <col min="5149" max="5379" width="8.83203125" style="14"/>
    <col min="5380" max="5380" width="5.5" style="14" customWidth="1"/>
    <col min="5381" max="5381" width="34.5" style="14" customWidth="1"/>
    <col min="5382" max="5382" width="30" style="14" customWidth="1"/>
    <col min="5383" max="5383" width="15" style="14" customWidth="1"/>
    <col min="5384" max="5384" width="12.5" style="14" customWidth="1"/>
    <col min="5385" max="5385" width="13.83203125" style="14" customWidth="1"/>
    <col min="5386" max="5386" width="12.83203125" style="14" customWidth="1"/>
    <col min="5387" max="5388" width="13" style="14" customWidth="1"/>
    <col min="5389" max="5390" width="13.1640625" style="14" customWidth="1"/>
    <col min="5391" max="5392" width="13" style="14" customWidth="1"/>
    <col min="5393" max="5395" width="13.1640625" style="14" customWidth="1"/>
    <col min="5396" max="5396" width="13.5" style="14" customWidth="1"/>
    <col min="5397" max="5398" width="12.1640625" style="14" customWidth="1"/>
    <col min="5399" max="5399" width="13" style="14" customWidth="1"/>
    <col min="5400" max="5400" width="7.5" style="14" customWidth="1"/>
    <col min="5401" max="5401" width="16" style="14" customWidth="1"/>
    <col min="5402" max="5402" width="11" style="14" customWidth="1"/>
    <col min="5403" max="5403" width="9.5" style="14" customWidth="1"/>
    <col min="5404" max="5404" width="9.1640625" style="14" customWidth="1"/>
    <col min="5405" max="5635" width="8.83203125" style="14"/>
    <col min="5636" max="5636" width="5.5" style="14" customWidth="1"/>
    <col min="5637" max="5637" width="34.5" style="14" customWidth="1"/>
    <col min="5638" max="5638" width="30" style="14" customWidth="1"/>
    <col min="5639" max="5639" width="15" style="14" customWidth="1"/>
    <col min="5640" max="5640" width="12.5" style="14" customWidth="1"/>
    <col min="5641" max="5641" width="13.83203125" style="14" customWidth="1"/>
    <col min="5642" max="5642" width="12.83203125" style="14" customWidth="1"/>
    <col min="5643" max="5644" width="13" style="14" customWidth="1"/>
    <col min="5645" max="5646" width="13.1640625" style="14" customWidth="1"/>
    <col min="5647" max="5648" width="13" style="14" customWidth="1"/>
    <col min="5649" max="5651" width="13.1640625" style="14" customWidth="1"/>
    <col min="5652" max="5652" width="13.5" style="14" customWidth="1"/>
    <col min="5653" max="5654" width="12.1640625" style="14" customWidth="1"/>
    <col min="5655" max="5655" width="13" style="14" customWidth="1"/>
    <col min="5656" max="5656" width="7.5" style="14" customWidth="1"/>
    <col min="5657" max="5657" width="16" style="14" customWidth="1"/>
    <col min="5658" max="5658" width="11" style="14" customWidth="1"/>
    <col min="5659" max="5659" width="9.5" style="14" customWidth="1"/>
    <col min="5660" max="5660" width="9.1640625" style="14" customWidth="1"/>
    <col min="5661" max="5891" width="8.83203125" style="14"/>
    <col min="5892" max="5892" width="5.5" style="14" customWidth="1"/>
    <col min="5893" max="5893" width="34.5" style="14" customWidth="1"/>
    <col min="5894" max="5894" width="30" style="14" customWidth="1"/>
    <col min="5895" max="5895" width="15" style="14" customWidth="1"/>
    <col min="5896" max="5896" width="12.5" style="14" customWidth="1"/>
    <col min="5897" max="5897" width="13.83203125" style="14" customWidth="1"/>
    <col min="5898" max="5898" width="12.83203125" style="14" customWidth="1"/>
    <col min="5899" max="5900" width="13" style="14" customWidth="1"/>
    <col min="5901" max="5902" width="13.1640625" style="14" customWidth="1"/>
    <col min="5903" max="5904" width="13" style="14" customWidth="1"/>
    <col min="5905" max="5907" width="13.1640625" style="14" customWidth="1"/>
    <col min="5908" max="5908" width="13.5" style="14" customWidth="1"/>
    <col min="5909" max="5910" width="12.1640625" style="14" customWidth="1"/>
    <col min="5911" max="5911" width="13" style="14" customWidth="1"/>
    <col min="5912" max="5912" width="7.5" style="14" customWidth="1"/>
    <col min="5913" max="5913" width="16" style="14" customWidth="1"/>
    <col min="5914" max="5914" width="11" style="14" customWidth="1"/>
    <col min="5915" max="5915" width="9.5" style="14" customWidth="1"/>
    <col min="5916" max="5916" width="9.1640625" style="14" customWidth="1"/>
    <col min="5917" max="6147" width="8.83203125" style="14"/>
    <col min="6148" max="6148" width="5.5" style="14" customWidth="1"/>
    <col min="6149" max="6149" width="34.5" style="14" customWidth="1"/>
    <col min="6150" max="6150" width="30" style="14" customWidth="1"/>
    <col min="6151" max="6151" width="15" style="14" customWidth="1"/>
    <col min="6152" max="6152" width="12.5" style="14" customWidth="1"/>
    <col min="6153" max="6153" width="13.83203125" style="14" customWidth="1"/>
    <col min="6154" max="6154" width="12.83203125" style="14" customWidth="1"/>
    <col min="6155" max="6156" width="13" style="14" customWidth="1"/>
    <col min="6157" max="6158" width="13.1640625" style="14" customWidth="1"/>
    <col min="6159" max="6160" width="13" style="14" customWidth="1"/>
    <col min="6161" max="6163" width="13.1640625" style="14" customWidth="1"/>
    <col min="6164" max="6164" width="13.5" style="14" customWidth="1"/>
    <col min="6165" max="6166" width="12.1640625" style="14" customWidth="1"/>
    <col min="6167" max="6167" width="13" style="14" customWidth="1"/>
    <col min="6168" max="6168" width="7.5" style="14" customWidth="1"/>
    <col min="6169" max="6169" width="16" style="14" customWidth="1"/>
    <col min="6170" max="6170" width="11" style="14" customWidth="1"/>
    <col min="6171" max="6171" width="9.5" style="14" customWidth="1"/>
    <col min="6172" max="6172" width="9.1640625" style="14" customWidth="1"/>
    <col min="6173" max="6403" width="8.83203125" style="14"/>
    <col min="6404" max="6404" width="5.5" style="14" customWidth="1"/>
    <col min="6405" max="6405" width="34.5" style="14" customWidth="1"/>
    <col min="6406" max="6406" width="30" style="14" customWidth="1"/>
    <col min="6407" max="6407" width="15" style="14" customWidth="1"/>
    <col min="6408" max="6408" width="12.5" style="14" customWidth="1"/>
    <col min="6409" max="6409" width="13.83203125" style="14" customWidth="1"/>
    <col min="6410" max="6410" width="12.83203125" style="14" customWidth="1"/>
    <col min="6411" max="6412" width="13" style="14" customWidth="1"/>
    <col min="6413" max="6414" width="13.1640625" style="14" customWidth="1"/>
    <col min="6415" max="6416" width="13" style="14" customWidth="1"/>
    <col min="6417" max="6419" width="13.1640625" style="14" customWidth="1"/>
    <col min="6420" max="6420" width="13.5" style="14" customWidth="1"/>
    <col min="6421" max="6422" width="12.1640625" style="14" customWidth="1"/>
    <col min="6423" max="6423" width="13" style="14" customWidth="1"/>
    <col min="6424" max="6424" width="7.5" style="14" customWidth="1"/>
    <col min="6425" max="6425" width="16" style="14" customWidth="1"/>
    <col min="6426" max="6426" width="11" style="14" customWidth="1"/>
    <col min="6427" max="6427" width="9.5" style="14" customWidth="1"/>
    <col min="6428" max="6428" width="9.1640625" style="14" customWidth="1"/>
    <col min="6429" max="6659" width="8.83203125" style="14"/>
    <col min="6660" max="6660" width="5.5" style="14" customWidth="1"/>
    <col min="6661" max="6661" width="34.5" style="14" customWidth="1"/>
    <col min="6662" max="6662" width="30" style="14" customWidth="1"/>
    <col min="6663" max="6663" width="15" style="14" customWidth="1"/>
    <col min="6664" max="6664" width="12.5" style="14" customWidth="1"/>
    <col min="6665" max="6665" width="13.83203125" style="14" customWidth="1"/>
    <col min="6666" max="6666" width="12.83203125" style="14" customWidth="1"/>
    <col min="6667" max="6668" width="13" style="14" customWidth="1"/>
    <col min="6669" max="6670" width="13.1640625" style="14" customWidth="1"/>
    <col min="6671" max="6672" width="13" style="14" customWidth="1"/>
    <col min="6673" max="6675" width="13.1640625" style="14" customWidth="1"/>
    <col min="6676" max="6676" width="13.5" style="14" customWidth="1"/>
    <col min="6677" max="6678" width="12.1640625" style="14" customWidth="1"/>
    <col min="6679" max="6679" width="13" style="14" customWidth="1"/>
    <col min="6680" max="6680" width="7.5" style="14" customWidth="1"/>
    <col min="6681" max="6681" width="16" style="14" customWidth="1"/>
    <col min="6682" max="6682" width="11" style="14" customWidth="1"/>
    <col min="6683" max="6683" width="9.5" style="14" customWidth="1"/>
    <col min="6684" max="6684" width="9.1640625" style="14" customWidth="1"/>
    <col min="6685" max="6915" width="8.83203125" style="14"/>
    <col min="6916" max="6916" width="5.5" style="14" customWidth="1"/>
    <col min="6917" max="6917" width="34.5" style="14" customWidth="1"/>
    <col min="6918" max="6918" width="30" style="14" customWidth="1"/>
    <col min="6919" max="6919" width="15" style="14" customWidth="1"/>
    <col min="6920" max="6920" width="12.5" style="14" customWidth="1"/>
    <col min="6921" max="6921" width="13.83203125" style="14" customWidth="1"/>
    <col min="6922" max="6922" width="12.83203125" style="14" customWidth="1"/>
    <col min="6923" max="6924" width="13" style="14" customWidth="1"/>
    <col min="6925" max="6926" width="13.1640625" style="14" customWidth="1"/>
    <col min="6927" max="6928" width="13" style="14" customWidth="1"/>
    <col min="6929" max="6931" width="13.1640625" style="14" customWidth="1"/>
    <col min="6932" max="6932" width="13.5" style="14" customWidth="1"/>
    <col min="6933" max="6934" width="12.1640625" style="14" customWidth="1"/>
    <col min="6935" max="6935" width="13" style="14" customWidth="1"/>
    <col min="6936" max="6936" width="7.5" style="14" customWidth="1"/>
    <col min="6937" max="6937" width="16" style="14" customWidth="1"/>
    <col min="6938" max="6938" width="11" style="14" customWidth="1"/>
    <col min="6939" max="6939" width="9.5" style="14" customWidth="1"/>
    <col min="6940" max="6940" width="9.1640625" style="14" customWidth="1"/>
    <col min="6941" max="7171" width="8.83203125" style="14"/>
    <col min="7172" max="7172" width="5.5" style="14" customWidth="1"/>
    <col min="7173" max="7173" width="34.5" style="14" customWidth="1"/>
    <col min="7174" max="7174" width="30" style="14" customWidth="1"/>
    <col min="7175" max="7175" width="15" style="14" customWidth="1"/>
    <col min="7176" max="7176" width="12.5" style="14" customWidth="1"/>
    <col min="7177" max="7177" width="13.83203125" style="14" customWidth="1"/>
    <col min="7178" max="7178" width="12.83203125" style="14" customWidth="1"/>
    <col min="7179" max="7180" width="13" style="14" customWidth="1"/>
    <col min="7181" max="7182" width="13.1640625" style="14" customWidth="1"/>
    <col min="7183" max="7184" width="13" style="14" customWidth="1"/>
    <col min="7185" max="7187" width="13.1640625" style="14" customWidth="1"/>
    <col min="7188" max="7188" width="13.5" style="14" customWidth="1"/>
    <col min="7189" max="7190" width="12.1640625" style="14" customWidth="1"/>
    <col min="7191" max="7191" width="13" style="14" customWidth="1"/>
    <col min="7192" max="7192" width="7.5" style="14" customWidth="1"/>
    <col min="7193" max="7193" width="16" style="14" customWidth="1"/>
    <col min="7194" max="7194" width="11" style="14" customWidth="1"/>
    <col min="7195" max="7195" width="9.5" style="14" customWidth="1"/>
    <col min="7196" max="7196" width="9.1640625" style="14" customWidth="1"/>
    <col min="7197" max="7427" width="8.83203125" style="14"/>
    <col min="7428" max="7428" width="5.5" style="14" customWidth="1"/>
    <col min="7429" max="7429" width="34.5" style="14" customWidth="1"/>
    <col min="7430" max="7430" width="30" style="14" customWidth="1"/>
    <col min="7431" max="7431" width="15" style="14" customWidth="1"/>
    <col min="7432" max="7432" width="12.5" style="14" customWidth="1"/>
    <col min="7433" max="7433" width="13.83203125" style="14" customWidth="1"/>
    <col min="7434" max="7434" width="12.83203125" style="14" customWidth="1"/>
    <col min="7435" max="7436" width="13" style="14" customWidth="1"/>
    <col min="7437" max="7438" width="13.1640625" style="14" customWidth="1"/>
    <col min="7439" max="7440" width="13" style="14" customWidth="1"/>
    <col min="7441" max="7443" width="13.1640625" style="14" customWidth="1"/>
    <col min="7444" max="7444" width="13.5" style="14" customWidth="1"/>
    <col min="7445" max="7446" width="12.1640625" style="14" customWidth="1"/>
    <col min="7447" max="7447" width="13" style="14" customWidth="1"/>
    <col min="7448" max="7448" width="7.5" style="14" customWidth="1"/>
    <col min="7449" max="7449" width="16" style="14" customWidth="1"/>
    <col min="7450" max="7450" width="11" style="14" customWidth="1"/>
    <col min="7451" max="7451" width="9.5" style="14" customWidth="1"/>
    <col min="7452" max="7452" width="9.1640625" style="14" customWidth="1"/>
    <col min="7453" max="7683" width="8.83203125" style="14"/>
    <col min="7684" max="7684" width="5.5" style="14" customWidth="1"/>
    <col min="7685" max="7685" width="34.5" style="14" customWidth="1"/>
    <col min="7686" max="7686" width="30" style="14" customWidth="1"/>
    <col min="7687" max="7687" width="15" style="14" customWidth="1"/>
    <col min="7688" max="7688" width="12.5" style="14" customWidth="1"/>
    <col min="7689" max="7689" width="13.83203125" style="14" customWidth="1"/>
    <col min="7690" max="7690" width="12.83203125" style="14" customWidth="1"/>
    <col min="7691" max="7692" width="13" style="14" customWidth="1"/>
    <col min="7693" max="7694" width="13.1640625" style="14" customWidth="1"/>
    <col min="7695" max="7696" width="13" style="14" customWidth="1"/>
    <col min="7697" max="7699" width="13.1640625" style="14" customWidth="1"/>
    <col min="7700" max="7700" width="13.5" style="14" customWidth="1"/>
    <col min="7701" max="7702" width="12.1640625" style="14" customWidth="1"/>
    <col min="7703" max="7703" width="13" style="14" customWidth="1"/>
    <col min="7704" max="7704" width="7.5" style="14" customWidth="1"/>
    <col min="7705" max="7705" width="16" style="14" customWidth="1"/>
    <col min="7706" max="7706" width="11" style="14" customWidth="1"/>
    <col min="7707" max="7707" width="9.5" style="14" customWidth="1"/>
    <col min="7708" max="7708" width="9.1640625" style="14" customWidth="1"/>
    <col min="7709" max="7939" width="8.83203125" style="14"/>
    <col min="7940" max="7940" width="5.5" style="14" customWidth="1"/>
    <col min="7941" max="7941" width="34.5" style="14" customWidth="1"/>
    <col min="7942" max="7942" width="30" style="14" customWidth="1"/>
    <col min="7943" max="7943" width="15" style="14" customWidth="1"/>
    <col min="7944" max="7944" width="12.5" style="14" customWidth="1"/>
    <col min="7945" max="7945" width="13.83203125" style="14" customWidth="1"/>
    <col min="7946" max="7946" width="12.83203125" style="14" customWidth="1"/>
    <col min="7947" max="7948" width="13" style="14" customWidth="1"/>
    <col min="7949" max="7950" width="13.1640625" style="14" customWidth="1"/>
    <col min="7951" max="7952" width="13" style="14" customWidth="1"/>
    <col min="7953" max="7955" width="13.1640625" style="14" customWidth="1"/>
    <col min="7956" max="7956" width="13.5" style="14" customWidth="1"/>
    <col min="7957" max="7958" width="12.1640625" style="14" customWidth="1"/>
    <col min="7959" max="7959" width="13" style="14" customWidth="1"/>
    <col min="7960" max="7960" width="7.5" style="14" customWidth="1"/>
    <col min="7961" max="7961" width="16" style="14" customWidth="1"/>
    <col min="7962" max="7962" width="11" style="14" customWidth="1"/>
    <col min="7963" max="7963" width="9.5" style="14" customWidth="1"/>
    <col min="7964" max="7964" width="9.1640625" style="14" customWidth="1"/>
    <col min="7965" max="8195" width="8.83203125" style="14"/>
    <col min="8196" max="8196" width="5.5" style="14" customWidth="1"/>
    <col min="8197" max="8197" width="34.5" style="14" customWidth="1"/>
    <col min="8198" max="8198" width="30" style="14" customWidth="1"/>
    <col min="8199" max="8199" width="15" style="14" customWidth="1"/>
    <col min="8200" max="8200" width="12.5" style="14" customWidth="1"/>
    <col min="8201" max="8201" width="13.83203125" style="14" customWidth="1"/>
    <col min="8202" max="8202" width="12.83203125" style="14" customWidth="1"/>
    <col min="8203" max="8204" width="13" style="14" customWidth="1"/>
    <col min="8205" max="8206" width="13.1640625" style="14" customWidth="1"/>
    <col min="8207" max="8208" width="13" style="14" customWidth="1"/>
    <col min="8209" max="8211" width="13.1640625" style="14" customWidth="1"/>
    <col min="8212" max="8212" width="13.5" style="14" customWidth="1"/>
    <col min="8213" max="8214" width="12.1640625" style="14" customWidth="1"/>
    <col min="8215" max="8215" width="13" style="14" customWidth="1"/>
    <col min="8216" max="8216" width="7.5" style="14" customWidth="1"/>
    <col min="8217" max="8217" width="16" style="14" customWidth="1"/>
    <col min="8218" max="8218" width="11" style="14" customWidth="1"/>
    <col min="8219" max="8219" width="9.5" style="14" customWidth="1"/>
    <col min="8220" max="8220" width="9.1640625" style="14" customWidth="1"/>
    <col min="8221" max="8451" width="8.83203125" style="14"/>
    <col min="8452" max="8452" width="5.5" style="14" customWidth="1"/>
    <col min="8453" max="8453" width="34.5" style="14" customWidth="1"/>
    <col min="8454" max="8454" width="30" style="14" customWidth="1"/>
    <col min="8455" max="8455" width="15" style="14" customWidth="1"/>
    <col min="8456" max="8456" width="12.5" style="14" customWidth="1"/>
    <col min="8457" max="8457" width="13.83203125" style="14" customWidth="1"/>
    <col min="8458" max="8458" width="12.83203125" style="14" customWidth="1"/>
    <col min="8459" max="8460" width="13" style="14" customWidth="1"/>
    <col min="8461" max="8462" width="13.1640625" style="14" customWidth="1"/>
    <col min="8463" max="8464" width="13" style="14" customWidth="1"/>
    <col min="8465" max="8467" width="13.1640625" style="14" customWidth="1"/>
    <col min="8468" max="8468" width="13.5" style="14" customWidth="1"/>
    <col min="8469" max="8470" width="12.1640625" style="14" customWidth="1"/>
    <col min="8471" max="8471" width="13" style="14" customWidth="1"/>
    <col min="8472" max="8472" width="7.5" style="14" customWidth="1"/>
    <col min="8473" max="8473" width="16" style="14" customWidth="1"/>
    <col min="8474" max="8474" width="11" style="14" customWidth="1"/>
    <col min="8475" max="8475" width="9.5" style="14" customWidth="1"/>
    <col min="8476" max="8476" width="9.1640625" style="14" customWidth="1"/>
    <col min="8477" max="8707" width="8.83203125" style="14"/>
    <col min="8708" max="8708" width="5.5" style="14" customWidth="1"/>
    <col min="8709" max="8709" width="34.5" style="14" customWidth="1"/>
    <col min="8710" max="8710" width="30" style="14" customWidth="1"/>
    <col min="8711" max="8711" width="15" style="14" customWidth="1"/>
    <col min="8712" max="8712" width="12.5" style="14" customWidth="1"/>
    <col min="8713" max="8713" width="13.83203125" style="14" customWidth="1"/>
    <col min="8714" max="8714" width="12.83203125" style="14" customWidth="1"/>
    <col min="8715" max="8716" width="13" style="14" customWidth="1"/>
    <col min="8717" max="8718" width="13.1640625" style="14" customWidth="1"/>
    <col min="8719" max="8720" width="13" style="14" customWidth="1"/>
    <col min="8721" max="8723" width="13.1640625" style="14" customWidth="1"/>
    <col min="8724" max="8724" width="13.5" style="14" customWidth="1"/>
    <col min="8725" max="8726" width="12.1640625" style="14" customWidth="1"/>
    <col min="8727" max="8727" width="13" style="14" customWidth="1"/>
    <col min="8728" max="8728" width="7.5" style="14" customWidth="1"/>
    <col min="8729" max="8729" width="16" style="14" customWidth="1"/>
    <col min="8730" max="8730" width="11" style="14" customWidth="1"/>
    <col min="8731" max="8731" width="9.5" style="14" customWidth="1"/>
    <col min="8732" max="8732" width="9.1640625" style="14" customWidth="1"/>
    <col min="8733" max="8963" width="8.83203125" style="14"/>
    <col min="8964" max="8964" width="5.5" style="14" customWidth="1"/>
    <col min="8965" max="8965" width="34.5" style="14" customWidth="1"/>
    <col min="8966" max="8966" width="30" style="14" customWidth="1"/>
    <col min="8967" max="8967" width="15" style="14" customWidth="1"/>
    <col min="8968" max="8968" width="12.5" style="14" customWidth="1"/>
    <col min="8969" max="8969" width="13.83203125" style="14" customWidth="1"/>
    <col min="8970" max="8970" width="12.83203125" style="14" customWidth="1"/>
    <col min="8971" max="8972" width="13" style="14" customWidth="1"/>
    <col min="8973" max="8974" width="13.1640625" style="14" customWidth="1"/>
    <col min="8975" max="8976" width="13" style="14" customWidth="1"/>
    <col min="8977" max="8979" width="13.1640625" style="14" customWidth="1"/>
    <col min="8980" max="8980" width="13.5" style="14" customWidth="1"/>
    <col min="8981" max="8982" width="12.1640625" style="14" customWidth="1"/>
    <col min="8983" max="8983" width="13" style="14" customWidth="1"/>
    <col min="8984" max="8984" width="7.5" style="14" customWidth="1"/>
    <col min="8985" max="8985" width="16" style="14" customWidth="1"/>
    <col min="8986" max="8986" width="11" style="14" customWidth="1"/>
    <col min="8987" max="8987" width="9.5" style="14" customWidth="1"/>
    <col min="8988" max="8988" width="9.1640625" style="14" customWidth="1"/>
    <col min="8989" max="9219" width="8.83203125" style="14"/>
    <col min="9220" max="9220" width="5.5" style="14" customWidth="1"/>
    <col min="9221" max="9221" width="34.5" style="14" customWidth="1"/>
    <col min="9222" max="9222" width="30" style="14" customWidth="1"/>
    <col min="9223" max="9223" width="15" style="14" customWidth="1"/>
    <col min="9224" max="9224" width="12.5" style="14" customWidth="1"/>
    <col min="9225" max="9225" width="13.83203125" style="14" customWidth="1"/>
    <col min="9226" max="9226" width="12.83203125" style="14" customWidth="1"/>
    <col min="9227" max="9228" width="13" style="14" customWidth="1"/>
    <col min="9229" max="9230" width="13.1640625" style="14" customWidth="1"/>
    <col min="9231" max="9232" width="13" style="14" customWidth="1"/>
    <col min="9233" max="9235" width="13.1640625" style="14" customWidth="1"/>
    <col min="9236" max="9236" width="13.5" style="14" customWidth="1"/>
    <col min="9237" max="9238" width="12.1640625" style="14" customWidth="1"/>
    <col min="9239" max="9239" width="13" style="14" customWidth="1"/>
    <col min="9240" max="9240" width="7.5" style="14" customWidth="1"/>
    <col min="9241" max="9241" width="16" style="14" customWidth="1"/>
    <col min="9242" max="9242" width="11" style="14" customWidth="1"/>
    <col min="9243" max="9243" width="9.5" style="14" customWidth="1"/>
    <col min="9244" max="9244" width="9.1640625" style="14" customWidth="1"/>
    <col min="9245" max="9475" width="8.83203125" style="14"/>
    <col min="9476" max="9476" width="5.5" style="14" customWidth="1"/>
    <col min="9477" max="9477" width="34.5" style="14" customWidth="1"/>
    <col min="9478" max="9478" width="30" style="14" customWidth="1"/>
    <col min="9479" max="9479" width="15" style="14" customWidth="1"/>
    <col min="9480" max="9480" width="12.5" style="14" customWidth="1"/>
    <col min="9481" max="9481" width="13.83203125" style="14" customWidth="1"/>
    <col min="9482" max="9482" width="12.83203125" style="14" customWidth="1"/>
    <col min="9483" max="9484" width="13" style="14" customWidth="1"/>
    <col min="9485" max="9486" width="13.1640625" style="14" customWidth="1"/>
    <col min="9487" max="9488" width="13" style="14" customWidth="1"/>
    <col min="9489" max="9491" width="13.1640625" style="14" customWidth="1"/>
    <col min="9492" max="9492" width="13.5" style="14" customWidth="1"/>
    <col min="9493" max="9494" width="12.1640625" style="14" customWidth="1"/>
    <col min="9495" max="9495" width="13" style="14" customWidth="1"/>
    <col min="9496" max="9496" width="7.5" style="14" customWidth="1"/>
    <col min="9497" max="9497" width="16" style="14" customWidth="1"/>
    <col min="9498" max="9498" width="11" style="14" customWidth="1"/>
    <col min="9499" max="9499" width="9.5" style="14" customWidth="1"/>
    <col min="9500" max="9500" width="9.1640625" style="14" customWidth="1"/>
    <col min="9501" max="9731" width="8.83203125" style="14"/>
    <col min="9732" max="9732" width="5.5" style="14" customWidth="1"/>
    <col min="9733" max="9733" width="34.5" style="14" customWidth="1"/>
    <col min="9734" max="9734" width="30" style="14" customWidth="1"/>
    <col min="9735" max="9735" width="15" style="14" customWidth="1"/>
    <col min="9736" max="9736" width="12.5" style="14" customWidth="1"/>
    <col min="9737" max="9737" width="13.83203125" style="14" customWidth="1"/>
    <col min="9738" max="9738" width="12.83203125" style="14" customWidth="1"/>
    <col min="9739" max="9740" width="13" style="14" customWidth="1"/>
    <col min="9741" max="9742" width="13.1640625" style="14" customWidth="1"/>
    <col min="9743" max="9744" width="13" style="14" customWidth="1"/>
    <col min="9745" max="9747" width="13.1640625" style="14" customWidth="1"/>
    <col min="9748" max="9748" width="13.5" style="14" customWidth="1"/>
    <col min="9749" max="9750" width="12.1640625" style="14" customWidth="1"/>
    <col min="9751" max="9751" width="13" style="14" customWidth="1"/>
    <col min="9752" max="9752" width="7.5" style="14" customWidth="1"/>
    <col min="9753" max="9753" width="16" style="14" customWidth="1"/>
    <col min="9754" max="9754" width="11" style="14" customWidth="1"/>
    <col min="9755" max="9755" width="9.5" style="14" customWidth="1"/>
    <col min="9756" max="9756" width="9.1640625" style="14" customWidth="1"/>
    <col min="9757" max="9987" width="8.83203125" style="14"/>
    <col min="9988" max="9988" width="5.5" style="14" customWidth="1"/>
    <col min="9989" max="9989" width="34.5" style="14" customWidth="1"/>
    <col min="9990" max="9990" width="30" style="14" customWidth="1"/>
    <col min="9991" max="9991" width="15" style="14" customWidth="1"/>
    <col min="9992" max="9992" width="12.5" style="14" customWidth="1"/>
    <col min="9993" max="9993" width="13.83203125" style="14" customWidth="1"/>
    <col min="9994" max="9994" width="12.83203125" style="14" customWidth="1"/>
    <col min="9995" max="9996" width="13" style="14" customWidth="1"/>
    <col min="9997" max="9998" width="13.1640625" style="14" customWidth="1"/>
    <col min="9999" max="10000" width="13" style="14" customWidth="1"/>
    <col min="10001" max="10003" width="13.1640625" style="14" customWidth="1"/>
    <col min="10004" max="10004" width="13.5" style="14" customWidth="1"/>
    <col min="10005" max="10006" width="12.1640625" style="14" customWidth="1"/>
    <col min="10007" max="10007" width="13" style="14" customWidth="1"/>
    <col min="10008" max="10008" width="7.5" style="14" customWidth="1"/>
    <col min="10009" max="10009" width="16" style="14" customWidth="1"/>
    <col min="10010" max="10010" width="11" style="14" customWidth="1"/>
    <col min="10011" max="10011" width="9.5" style="14" customWidth="1"/>
    <col min="10012" max="10012" width="9.1640625" style="14" customWidth="1"/>
    <col min="10013" max="10243" width="8.83203125" style="14"/>
    <col min="10244" max="10244" width="5.5" style="14" customWidth="1"/>
    <col min="10245" max="10245" width="34.5" style="14" customWidth="1"/>
    <col min="10246" max="10246" width="30" style="14" customWidth="1"/>
    <col min="10247" max="10247" width="15" style="14" customWidth="1"/>
    <col min="10248" max="10248" width="12.5" style="14" customWidth="1"/>
    <col min="10249" max="10249" width="13.83203125" style="14" customWidth="1"/>
    <col min="10250" max="10250" width="12.83203125" style="14" customWidth="1"/>
    <col min="10251" max="10252" width="13" style="14" customWidth="1"/>
    <col min="10253" max="10254" width="13.1640625" style="14" customWidth="1"/>
    <col min="10255" max="10256" width="13" style="14" customWidth="1"/>
    <col min="10257" max="10259" width="13.1640625" style="14" customWidth="1"/>
    <col min="10260" max="10260" width="13.5" style="14" customWidth="1"/>
    <col min="10261" max="10262" width="12.1640625" style="14" customWidth="1"/>
    <col min="10263" max="10263" width="13" style="14" customWidth="1"/>
    <col min="10264" max="10264" width="7.5" style="14" customWidth="1"/>
    <col min="10265" max="10265" width="16" style="14" customWidth="1"/>
    <col min="10266" max="10266" width="11" style="14" customWidth="1"/>
    <col min="10267" max="10267" width="9.5" style="14" customWidth="1"/>
    <col min="10268" max="10268" width="9.1640625" style="14" customWidth="1"/>
    <col min="10269" max="10499" width="8.83203125" style="14"/>
    <col min="10500" max="10500" width="5.5" style="14" customWidth="1"/>
    <col min="10501" max="10501" width="34.5" style="14" customWidth="1"/>
    <col min="10502" max="10502" width="30" style="14" customWidth="1"/>
    <col min="10503" max="10503" width="15" style="14" customWidth="1"/>
    <col min="10504" max="10504" width="12.5" style="14" customWidth="1"/>
    <col min="10505" max="10505" width="13.83203125" style="14" customWidth="1"/>
    <col min="10506" max="10506" width="12.83203125" style="14" customWidth="1"/>
    <col min="10507" max="10508" width="13" style="14" customWidth="1"/>
    <col min="10509" max="10510" width="13.1640625" style="14" customWidth="1"/>
    <col min="10511" max="10512" width="13" style="14" customWidth="1"/>
    <col min="10513" max="10515" width="13.1640625" style="14" customWidth="1"/>
    <col min="10516" max="10516" width="13.5" style="14" customWidth="1"/>
    <col min="10517" max="10518" width="12.1640625" style="14" customWidth="1"/>
    <col min="10519" max="10519" width="13" style="14" customWidth="1"/>
    <col min="10520" max="10520" width="7.5" style="14" customWidth="1"/>
    <col min="10521" max="10521" width="16" style="14" customWidth="1"/>
    <col min="10522" max="10522" width="11" style="14" customWidth="1"/>
    <col min="10523" max="10523" width="9.5" style="14" customWidth="1"/>
    <col min="10524" max="10524" width="9.1640625" style="14" customWidth="1"/>
    <col min="10525" max="10755" width="8.83203125" style="14"/>
    <col min="10756" max="10756" width="5.5" style="14" customWidth="1"/>
    <col min="10757" max="10757" width="34.5" style="14" customWidth="1"/>
    <col min="10758" max="10758" width="30" style="14" customWidth="1"/>
    <col min="10759" max="10759" width="15" style="14" customWidth="1"/>
    <col min="10760" max="10760" width="12.5" style="14" customWidth="1"/>
    <col min="10761" max="10761" width="13.83203125" style="14" customWidth="1"/>
    <col min="10762" max="10762" width="12.83203125" style="14" customWidth="1"/>
    <col min="10763" max="10764" width="13" style="14" customWidth="1"/>
    <col min="10765" max="10766" width="13.1640625" style="14" customWidth="1"/>
    <col min="10767" max="10768" width="13" style="14" customWidth="1"/>
    <col min="10769" max="10771" width="13.1640625" style="14" customWidth="1"/>
    <col min="10772" max="10772" width="13.5" style="14" customWidth="1"/>
    <col min="10773" max="10774" width="12.1640625" style="14" customWidth="1"/>
    <col min="10775" max="10775" width="13" style="14" customWidth="1"/>
    <col min="10776" max="10776" width="7.5" style="14" customWidth="1"/>
    <col min="10777" max="10777" width="16" style="14" customWidth="1"/>
    <col min="10778" max="10778" width="11" style="14" customWidth="1"/>
    <col min="10779" max="10779" width="9.5" style="14" customWidth="1"/>
    <col min="10780" max="10780" width="9.1640625" style="14" customWidth="1"/>
    <col min="10781" max="11011" width="8.83203125" style="14"/>
    <col min="11012" max="11012" width="5.5" style="14" customWidth="1"/>
    <col min="11013" max="11013" width="34.5" style="14" customWidth="1"/>
    <col min="11014" max="11014" width="30" style="14" customWidth="1"/>
    <col min="11015" max="11015" width="15" style="14" customWidth="1"/>
    <col min="11016" max="11016" width="12.5" style="14" customWidth="1"/>
    <col min="11017" max="11017" width="13.83203125" style="14" customWidth="1"/>
    <col min="11018" max="11018" width="12.83203125" style="14" customWidth="1"/>
    <col min="11019" max="11020" width="13" style="14" customWidth="1"/>
    <col min="11021" max="11022" width="13.1640625" style="14" customWidth="1"/>
    <col min="11023" max="11024" width="13" style="14" customWidth="1"/>
    <col min="11025" max="11027" width="13.1640625" style="14" customWidth="1"/>
    <col min="11028" max="11028" width="13.5" style="14" customWidth="1"/>
    <col min="11029" max="11030" width="12.1640625" style="14" customWidth="1"/>
    <col min="11031" max="11031" width="13" style="14" customWidth="1"/>
    <col min="11032" max="11032" width="7.5" style="14" customWidth="1"/>
    <col min="11033" max="11033" width="16" style="14" customWidth="1"/>
    <col min="11034" max="11034" width="11" style="14" customWidth="1"/>
    <col min="11035" max="11035" width="9.5" style="14" customWidth="1"/>
    <col min="11036" max="11036" width="9.1640625" style="14" customWidth="1"/>
    <col min="11037" max="11267" width="8.83203125" style="14"/>
    <col min="11268" max="11268" width="5.5" style="14" customWidth="1"/>
    <col min="11269" max="11269" width="34.5" style="14" customWidth="1"/>
    <col min="11270" max="11270" width="30" style="14" customWidth="1"/>
    <col min="11271" max="11271" width="15" style="14" customWidth="1"/>
    <col min="11272" max="11272" width="12.5" style="14" customWidth="1"/>
    <col min="11273" max="11273" width="13.83203125" style="14" customWidth="1"/>
    <col min="11274" max="11274" width="12.83203125" style="14" customWidth="1"/>
    <col min="11275" max="11276" width="13" style="14" customWidth="1"/>
    <col min="11277" max="11278" width="13.1640625" style="14" customWidth="1"/>
    <col min="11279" max="11280" width="13" style="14" customWidth="1"/>
    <col min="11281" max="11283" width="13.1640625" style="14" customWidth="1"/>
    <col min="11284" max="11284" width="13.5" style="14" customWidth="1"/>
    <col min="11285" max="11286" width="12.1640625" style="14" customWidth="1"/>
    <col min="11287" max="11287" width="13" style="14" customWidth="1"/>
    <col min="11288" max="11288" width="7.5" style="14" customWidth="1"/>
    <col min="11289" max="11289" width="16" style="14" customWidth="1"/>
    <col min="11290" max="11290" width="11" style="14" customWidth="1"/>
    <col min="11291" max="11291" width="9.5" style="14" customWidth="1"/>
    <col min="11292" max="11292" width="9.1640625" style="14" customWidth="1"/>
    <col min="11293" max="11523" width="8.83203125" style="14"/>
    <col min="11524" max="11524" width="5.5" style="14" customWidth="1"/>
    <col min="11525" max="11525" width="34.5" style="14" customWidth="1"/>
    <col min="11526" max="11526" width="30" style="14" customWidth="1"/>
    <col min="11527" max="11527" width="15" style="14" customWidth="1"/>
    <col min="11528" max="11528" width="12.5" style="14" customWidth="1"/>
    <col min="11529" max="11529" width="13.83203125" style="14" customWidth="1"/>
    <col min="11530" max="11530" width="12.83203125" style="14" customWidth="1"/>
    <col min="11531" max="11532" width="13" style="14" customWidth="1"/>
    <col min="11533" max="11534" width="13.1640625" style="14" customWidth="1"/>
    <col min="11535" max="11536" width="13" style="14" customWidth="1"/>
    <col min="11537" max="11539" width="13.1640625" style="14" customWidth="1"/>
    <col min="11540" max="11540" width="13.5" style="14" customWidth="1"/>
    <col min="11541" max="11542" width="12.1640625" style="14" customWidth="1"/>
    <col min="11543" max="11543" width="13" style="14" customWidth="1"/>
    <col min="11544" max="11544" width="7.5" style="14" customWidth="1"/>
    <col min="11545" max="11545" width="16" style="14" customWidth="1"/>
    <col min="11546" max="11546" width="11" style="14" customWidth="1"/>
    <col min="11547" max="11547" width="9.5" style="14" customWidth="1"/>
    <col min="11548" max="11548" width="9.1640625" style="14" customWidth="1"/>
    <col min="11549" max="11779" width="8.83203125" style="14"/>
    <col min="11780" max="11780" width="5.5" style="14" customWidth="1"/>
    <col min="11781" max="11781" width="34.5" style="14" customWidth="1"/>
    <col min="11782" max="11782" width="30" style="14" customWidth="1"/>
    <col min="11783" max="11783" width="15" style="14" customWidth="1"/>
    <col min="11784" max="11784" width="12.5" style="14" customWidth="1"/>
    <col min="11785" max="11785" width="13.83203125" style="14" customWidth="1"/>
    <col min="11786" max="11786" width="12.83203125" style="14" customWidth="1"/>
    <col min="11787" max="11788" width="13" style="14" customWidth="1"/>
    <col min="11789" max="11790" width="13.1640625" style="14" customWidth="1"/>
    <col min="11791" max="11792" width="13" style="14" customWidth="1"/>
    <col min="11793" max="11795" width="13.1640625" style="14" customWidth="1"/>
    <col min="11796" max="11796" width="13.5" style="14" customWidth="1"/>
    <col min="11797" max="11798" width="12.1640625" style="14" customWidth="1"/>
    <col min="11799" max="11799" width="13" style="14" customWidth="1"/>
    <col min="11800" max="11800" width="7.5" style="14" customWidth="1"/>
    <col min="11801" max="11801" width="16" style="14" customWidth="1"/>
    <col min="11802" max="11802" width="11" style="14" customWidth="1"/>
    <col min="11803" max="11803" width="9.5" style="14" customWidth="1"/>
    <col min="11804" max="11804" width="9.1640625" style="14" customWidth="1"/>
    <col min="11805" max="12035" width="8.83203125" style="14"/>
    <col min="12036" max="12036" width="5.5" style="14" customWidth="1"/>
    <col min="12037" max="12037" width="34.5" style="14" customWidth="1"/>
    <col min="12038" max="12038" width="30" style="14" customWidth="1"/>
    <col min="12039" max="12039" width="15" style="14" customWidth="1"/>
    <col min="12040" max="12040" width="12.5" style="14" customWidth="1"/>
    <col min="12041" max="12041" width="13.83203125" style="14" customWidth="1"/>
    <col min="12042" max="12042" width="12.83203125" style="14" customWidth="1"/>
    <col min="12043" max="12044" width="13" style="14" customWidth="1"/>
    <col min="12045" max="12046" width="13.1640625" style="14" customWidth="1"/>
    <col min="12047" max="12048" width="13" style="14" customWidth="1"/>
    <col min="12049" max="12051" width="13.1640625" style="14" customWidth="1"/>
    <col min="12052" max="12052" width="13.5" style="14" customWidth="1"/>
    <col min="12053" max="12054" width="12.1640625" style="14" customWidth="1"/>
    <col min="12055" max="12055" width="13" style="14" customWidth="1"/>
    <col min="12056" max="12056" width="7.5" style="14" customWidth="1"/>
    <col min="12057" max="12057" width="16" style="14" customWidth="1"/>
    <col min="12058" max="12058" width="11" style="14" customWidth="1"/>
    <col min="12059" max="12059" width="9.5" style="14" customWidth="1"/>
    <col min="12060" max="12060" width="9.1640625" style="14" customWidth="1"/>
    <col min="12061" max="12291" width="8.83203125" style="14"/>
    <col min="12292" max="12292" width="5.5" style="14" customWidth="1"/>
    <col min="12293" max="12293" width="34.5" style="14" customWidth="1"/>
    <col min="12294" max="12294" width="30" style="14" customWidth="1"/>
    <col min="12295" max="12295" width="15" style="14" customWidth="1"/>
    <col min="12296" max="12296" width="12.5" style="14" customWidth="1"/>
    <col min="12297" max="12297" width="13.83203125" style="14" customWidth="1"/>
    <col min="12298" max="12298" width="12.83203125" style="14" customWidth="1"/>
    <col min="12299" max="12300" width="13" style="14" customWidth="1"/>
    <col min="12301" max="12302" width="13.1640625" style="14" customWidth="1"/>
    <col min="12303" max="12304" width="13" style="14" customWidth="1"/>
    <col min="12305" max="12307" width="13.1640625" style="14" customWidth="1"/>
    <col min="12308" max="12308" width="13.5" style="14" customWidth="1"/>
    <col min="12309" max="12310" width="12.1640625" style="14" customWidth="1"/>
    <col min="12311" max="12311" width="13" style="14" customWidth="1"/>
    <col min="12312" max="12312" width="7.5" style="14" customWidth="1"/>
    <col min="12313" max="12313" width="16" style="14" customWidth="1"/>
    <col min="12314" max="12314" width="11" style="14" customWidth="1"/>
    <col min="12315" max="12315" width="9.5" style="14" customWidth="1"/>
    <col min="12316" max="12316" width="9.1640625" style="14" customWidth="1"/>
    <col min="12317" max="12547" width="8.83203125" style="14"/>
    <col min="12548" max="12548" width="5.5" style="14" customWidth="1"/>
    <col min="12549" max="12549" width="34.5" style="14" customWidth="1"/>
    <col min="12550" max="12550" width="30" style="14" customWidth="1"/>
    <col min="12551" max="12551" width="15" style="14" customWidth="1"/>
    <col min="12552" max="12552" width="12.5" style="14" customWidth="1"/>
    <col min="12553" max="12553" width="13.83203125" style="14" customWidth="1"/>
    <col min="12554" max="12554" width="12.83203125" style="14" customWidth="1"/>
    <col min="12555" max="12556" width="13" style="14" customWidth="1"/>
    <col min="12557" max="12558" width="13.1640625" style="14" customWidth="1"/>
    <col min="12559" max="12560" width="13" style="14" customWidth="1"/>
    <col min="12561" max="12563" width="13.1640625" style="14" customWidth="1"/>
    <col min="12564" max="12564" width="13.5" style="14" customWidth="1"/>
    <col min="12565" max="12566" width="12.1640625" style="14" customWidth="1"/>
    <col min="12567" max="12567" width="13" style="14" customWidth="1"/>
    <col min="12568" max="12568" width="7.5" style="14" customWidth="1"/>
    <col min="12569" max="12569" width="16" style="14" customWidth="1"/>
    <col min="12570" max="12570" width="11" style="14" customWidth="1"/>
    <col min="12571" max="12571" width="9.5" style="14" customWidth="1"/>
    <col min="12572" max="12572" width="9.1640625" style="14" customWidth="1"/>
    <col min="12573" max="12803" width="8.83203125" style="14"/>
    <col min="12804" max="12804" width="5.5" style="14" customWidth="1"/>
    <col min="12805" max="12805" width="34.5" style="14" customWidth="1"/>
    <col min="12806" max="12806" width="30" style="14" customWidth="1"/>
    <col min="12807" max="12807" width="15" style="14" customWidth="1"/>
    <col min="12808" max="12808" width="12.5" style="14" customWidth="1"/>
    <col min="12809" max="12809" width="13.83203125" style="14" customWidth="1"/>
    <col min="12810" max="12810" width="12.83203125" style="14" customWidth="1"/>
    <col min="12811" max="12812" width="13" style="14" customWidth="1"/>
    <col min="12813" max="12814" width="13.1640625" style="14" customWidth="1"/>
    <col min="12815" max="12816" width="13" style="14" customWidth="1"/>
    <col min="12817" max="12819" width="13.1640625" style="14" customWidth="1"/>
    <col min="12820" max="12820" width="13.5" style="14" customWidth="1"/>
    <col min="12821" max="12822" width="12.1640625" style="14" customWidth="1"/>
    <col min="12823" max="12823" width="13" style="14" customWidth="1"/>
    <col min="12824" max="12824" width="7.5" style="14" customWidth="1"/>
    <col min="12825" max="12825" width="16" style="14" customWidth="1"/>
    <col min="12826" max="12826" width="11" style="14" customWidth="1"/>
    <col min="12827" max="12827" width="9.5" style="14" customWidth="1"/>
    <col min="12828" max="12828" width="9.1640625" style="14" customWidth="1"/>
    <col min="12829" max="13059" width="8.83203125" style="14"/>
    <col min="13060" max="13060" width="5.5" style="14" customWidth="1"/>
    <col min="13061" max="13061" width="34.5" style="14" customWidth="1"/>
    <col min="13062" max="13062" width="30" style="14" customWidth="1"/>
    <col min="13063" max="13063" width="15" style="14" customWidth="1"/>
    <col min="13064" max="13064" width="12.5" style="14" customWidth="1"/>
    <col min="13065" max="13065" width="13.83203125" style="14" customWidth="1"/>
    <col min="13066" max="13066" width="12.83203125" style="14" customWidth="1"/>
    <col min="13067" max="13068" width="13" style="14" customWidth="1"/>
    <col min="13069" max="13070" width="13.1640625" style="14" customWidth="1"/>
    <col min="13071" max="13072" width="13" style="14" customWidth="1"/>
    <col min="13073" max="13075" width="13.1640625" style="14" customWidth="1"/>
    <col min="13076" max="13076" width="13.5" style="14" customWidth="1"/>
    <col min="13077" max="13078" width="12.1640625" style="14" customWidth="1"/>
    <col min="13079" max="13079" width="13" style="14" customWidth="1"/>
    <col min="13080" max="13080" width="7.5" style="14" customWidth="1"/>
    <col min="13081" max="13081" width="16" style="14" customWidth="1"/>
    <col min="13082" max="13082" width="11" style="14" customWidth="1"/>
    <col min="13083" max="13083" width="9.5" style="14" customWidth="1"/>
    <col min="13084" max="13084" width="9.1640625" style="14" customWidth="1"/>
    <col min="13085" max="13315" width="8.83203125" style="14"/>
    <col min="13316" max="13316" width="5.5" style="14" customWidth="1"/>
    <col min="13317" max="13317" width="34.5" style="14" customWidth="1"/>
    <col min="13318" max="13318" width="30" style="14" customWidth="1"/>
    <col min="13319" max="13319" width="15" style="14" customWidth="1"/>
    <col min="13320" max="13320" width="12.5" style="14" customWidth="1"/>
    <col min="13321" max="13321" width="13.83203125" style="14" customWidth="1"/>
    <col min="13322" max="13322" width="12.83203125" style="14" customWidth="1"/>
    <col min="13323" max="13324" width="13" style="14" customWidth="1"/>
    <col min="13325" max="13326" width="13.1640625" style="14" customWidth="1"/>
    <col min="13327" max="13328" width="13" style="14" customWidth="1"/>
    <col min="13329" max="13331" width="13.1640625" style="14" customWidth="1"/>
    <col min="13332" max="13332" width="13.5" style="14" customWidth="1"/>
    <col min="13333" max="13334" width="12.1640625" style="14" customWidth="1"/>
    <col min="13335" max="13335" width="13" style="14" customWidth="1"/>
    <col min="13336" max="13336" width="7.5" style="14" customWidth="1"/>
    <col min="13337" max="13337" width="16" style="14" customWidth="1"/>
    <col min="13338" max="13338" width="11" style="14" customWidth="1"/>
    <col min="13339" max="13339" width="9.5" style="14" customWidth="1"/>
    <col min="13340" max="13340" width="9.1640625" style="14" customWidth="1"/>
    <col min="13341" max="13571" width="8.83203125" style="14"/>
    <col min="13572" max="13572" width="5.5" style="14" customWidth="1"/>
    <col min="13573" max="13573" width="34.5" style="14" customWidth="1"/>
    <col min="13574" max="13574" width="30" style="14" customWidth="1"/>
    <col min="13575" max="13575" width="15" style="14" customWidth="1"/>
    <col min="13576" max="13576" width="12.5" style="14" customWidth="1"/>
    <col min="13577" max="13577" width="13.83203125" style="14" customWidth="1"/>
    <col min="13578" max="13578" width="12.83203125" style="14" customWidth="1"/>
    <col min="13579" max="13580" width="13" style="14" customWidth="1"/>
    <col min="13581" max="13582" width="13.1640625" style="14" customWidth="1"/>
    <col min="13583" max="13584" width="13" style="14" customWidth="1"/>
    <col min="13585" max="13587" width="13.1640625" style="14" customWidth="1"/>
    <col min="13588" max="13588" width="13.5" style="14" customWidth="1"/>
    <col min="13589" max="13590" width="12.1640625" style="14" customWidth="1"/>
    <col min="13591" max="13591" width="13" style="14" customWidth="1"/>
    <col min="13592" max="13592" width="7.5" style="14" customWidth="1"/>
    <col min="13593" max="13593" width="16" style="14" customWidth="1"/>
    <col min="13594" max="13594" width="11" style="14" customWidth="1"/>
    <col min="13595" max="13595" width="9.5" style="14" customWidth="1"/>
    <col min="13596" max="13596" width="9.1640625" style="14" customWidth="1"/>
    <col min="13597" max="13827" width="8.83203125" style="14"/>
    <col min="13828" max="13828" width="5.5" style="14" customWidth="1"/>
    <col min="13829" max="13829" width="34.5" style="14" customWidth="1"/>
    <col min="13830" max="13830" width="30" style="14" customWidth="1"/>
    <col min="13831" max="13831" width="15" style="14" customWidth="1"/>
    <col min="13832" max="13832" width="12.5" style="14" customWidth="1"/>
    <col min="13833" max="13833" width="13.83203125" style="14" customWidth="1"/>
    <col min="13834" max="13834" width="12.83203125" style="14" customWidth="1"/>
    <col min="13835" max="13836" width="13" style="14" customWidth="1"/>
    <col min="13837" max="13838" width="13.1640625" style="14" customWidth="1"/>
    <col min="13839" max="13840" width="13" style="14" customWidth="1"/>
    <col min="13841" max="13843" width="13.1640625" style="14" customWidth="1"/>
    <col min="13844" max="13844" width="13.5" style="14" customWidth="1"/>
    <col min="13845" max="13846" width="12.1640625" style="14" customWidth="1"/>
    <col min="13847" max="13847" width="13" style="14" customWidth="1"/>
    <col min="13848" max="13848" width="7.5" style="14" customWidth="1"/>
    <col min="13849" max="13849" width="16" style="14" customWidth="1"/>
    <col min="13850" max="13850" width="11" style="14" customWidth="1"/>
    <col min="13851" max="13851" width="9.5" style="14" customWidth="1"/>
    <col min="13852" max="13852" width="9.1640625" style="14" customWidth="1"/>
    <col min="13853" max="14083" width="8.83203125" style="14"/>
    <col min="14084" max="14084" width="5.5" style="14" customWidth="1"/>
    <col min="14085" max="14085" width="34.5" style="14" customWidth="1"/>
    <col min="14086" max="14086" width="30" style="14" customWidth="1"/>
    <col min="14087" max="14087" width="15" style="14" customWidth="1"/>
    <col min="14088" max="14088" width="12.5" style="14" customWidth="1"/>
    <col min="14089" max="14089" width="13.83203125" style="14" customWidth="1"/>
    <col min="14090" max="14090" width="12.83203125" style="14" customWidth="1"/>
    <col min="14091" max="14092" width="13" style="14" customWidth="1"/>
    <col min="14093" max="14094" width="13.1640625" style="14" customWidth="1"/>
    <col min="14095" max="14096" width="13" style="14" customWidth="1"/>
    <col min="14097" max="14099" width="13.1640625" style="14" customWidth="1"/>
    <col min="14100" max="14100" width="13.5" style="14" customWidth="1"/>
    <col min="14101" max="14102" width="12.1640625" style="14" customWidth="1"/>
    <col min="14103" max="14103" width="13" style="14" customWidth="1"/>
    <col min="14104" max="14104" width="7.5" style="14" customWidth="1"/>
    <col min="14105" max="14105" width="16" style="14" customWidth="1"/>
    <col min="14106" max="14106" width="11" style="14" customWidth="1"/>
    <col min="14107" max="14107" width="9.5" style="14" customWidth="1"/>
    <col min="14108" max="14108" width="9.1640625" style="14" customWidth="1"/>
    <col min="14109" max="14339" width="8.83203125" style="14"/>
    <col min="14340" max="14340" width="5.5" style="14" customWidth="1"/>
    <col min="14341" max="14341" width="34.5" style="14" customWidth="1"/>
    <col min="14342" max="14342" width="30" style="14" customWidth="1"/>
    <col min="14343" max="14343" width="15" style="14" customWidth="1"/>
    <col min="14344" max="14344" width="12.5" style="14" customWidth="1"/>
    <col min="14345" max="14345" width="13.83203125" style="14" customWidth="1"/>
    <col min="14346" max="14346" width="12.83203125" style="14" customWidth="1"/>
    <col min="14347" max="14348" width="13" style="14" customWidth="1"/>
    <col min="14349" max="14350" width="13.1640625" style="14" customWidth="1"/>
    <col min="14351" max="14352" width="13" style="14" customWidth="1"/>
    <col min="14353" max="14355" width="13.1640625" style="14" customWidth="1"/>
    <col min="14356" max="14356" width="13.5" style="14" customWidth="1"/>
    <col min="14357" max="14358" width="12.1640625" style="14" customWidth="1"/>
    <col min="14359" max="14359" width="13" style="14" customWidth="1"/>
    <col min="14360" max="14360" width="7.5" style="14" customWidth="1"/>
    <col min="14361" max="14361" width="16" style="14" customWidth="1"/>
    <col min="14362" max="14362" width="11" style="14" customWidth="1"/>
    <col min="14363" max="14363" width="9.5" style="14" customWidth="1"/>
    <col min="14364" max="14364" width="9.1640625" style="14" customWidth="1"/>
    <col min="14365" max="14595" width="8.83203125" style="14"/>
    <col min="14596" max="14596" width="5.5" style="14" customWidth="1"/>
    <col min="14597" max="14597" width="34.5" style="14" customWidth="1"/>
    <col min="14598" max="14598" width="30" style="14" customWidth="1"/>
    <col min="14599" max="14599" width="15" style="14" customWidth="1"/>
    <col min="14600" max="14600" width="12.5" style="14" customWidth="1"/>
    <col min="14601" max="14601" width="13.83203125" style="14" customWidth="1"/>
    <col min="14602" max="14602" width="12.83203125" style="14" customWidth="1"/>
    <col min="14603" max="14604" width="13" style="14" customWidth="1"/>
    <col min="14605" max="14606" width="13.1640625" style="14" customWidth="1"/>
    <col min="14607" max="14608" width="13" style="14" customWidth="1"/>
    <col min="14609" max="14611" width="13.1640625" style="14" customWidth="1"/>
    <col min="14612" max="14612" width="13.5" style="14" customWidth="1"/>
    <col min="14613" max="14614" width="12.1640625" style="14" customWidth="1"/>
    <col min="14615" max="14615" width="13" style="14" customWidth="1"/>
    <col min="14616" max="14616" width="7.5" style="14" customWidth="1"/>
    <col min="14617" max="14617" width="16" style="14" customWidth="1"/>
    <col min="14618" max="14618" width="11" style="14" customWidth="1"/>
    <col min="14619" max="14619" width="9.5" style="14" customWidth="1"/>
    <col min="14620" max="14620" width="9.1640625" style="14" customWidth="1"/>
    <col min="14621" max="14851" width="8.83203125" style="14"/>
    <col min="14852" max="14852" width="5.5" style="14" customWidth="1"/>
    <col min="14853" max="14853" width="34.5" style="14" customWidth="1"/>
    <col min="14854" max="14854" width="30" style="14" customWidth="1"/>
    <col min="14855" max="14855" width="15" style="14" customWidth="1"/>
    <col min="14856" max="14856" width="12.5" style="14" customWidth="1"/>
    <col min="14857" max="14857" width="13.83203125" style="14" customWidth="1"/>
    <col min="14858" max="14858" width="12.83203125" style="14" customWidth="1"/>
    <col min="14859" max="14860" width="13" style="14" customWidth="1"/>
    <col min="14861" max="14862" width="13.1640625" style="14" customWidth="1"/>
    <col min="14863" max="14864" width="13" style="14" customWidth="1"/>
    <col min="14865" max="14867" width="13.1640625" style="14" customWidth="1"/>
    <col min="14868" max="14868" width="13.5" style="14" customWidth="1"/>
    <col min="14869" max="14870" width="12.1640625" style="14" customWidth="1"/>
    <col min="14871" max="14871" width="13" style="14" customWidth="1"/>
    <col min="14872" max="14872" width="7.5" style="14" customWidth="1"/>
    <col min="14873" max="14873" width="16" style="14" customWidth="1"/>
    <col min="14874" max="14874" width="11" style="14" customWidth="1"/>
    <col min="14875" max="14875" width="9.5" style="14" customWidth="1"/>
    <col min="14876" max="14876" width="9.1640625" style="14" customWidth="1"/>
    <col min="14877" max="15107" width="8.83203125" style="14"/>
    <col min="15108" max="15108" width="5.5" style="14" customWidth="1"/>
    <col min="15109" max="15109" width="34.5" style="14" customWidth="1"/>
    <col min="15110" max="15110" width="30" style="14" customWidth="1"/>
    <col min="15111" max="15111" width="15" style="14" customWidth="1"/>
    <col min="15112" max="15112" width="12.5" style="14" customWidth="1"/>
    <col min="15113" max="15113" width="13.83203125" style="14" customWidth="1"/>
    <col min="15114" max="15114" width="12.83203125" style="14" customWidth="1"/>
    <col min="15115" max="15116" width="13" style="14" customWidth="1"/>
    <col min="15117" max="15118" width="13.1640625" style="14" customWidth="1"/>
    <col min="15119" max="15120" width="13" style="14" customWidth="1"/>
    <col min="15121" max="15123" width="13.1640625" style="14" customWidth="1"/>
    <col min="15124" max="15124" width="13.5" style="14" customWidth="1"/>
    <col min="15125" max="15126" width="12.1640625" style="14" customWidth="1"/>
    <col min="15127" max="15127" width="13" style="14" customWidth="1"/>
    <col min="15128" max="15128" width="7.5" style="14" customWidth="1"/>
    <col min="15129" max="15129" width="16" style="14" customWidth="1"/>
    <col min="15130" max="15130" width="11" style="14" customWidth="1"/>
    <col min="15131" max="15131" width="9.5" style="14" customWidth="1"/>
    <col min="15132" max="15132" width="9.1640625" style="14" customWidth="1"/>
    <col min="15133" max="15363" width="8.83203125" style="14"/>
    <col min="15364" max="15364" width="5.5" style="14" customWidth="1"/>
    <col min="15365" max="15365" width="34.5" style="14" customWidth="1"/>
    <col min="15366" max="15366" width="30" style="14" customWidth="1"/>
    <col min="15367" max="15367" width="15" style="14" customWidth="1"/>
    <col min="15368" max="15368" width="12.5" style="14" customWidth="1"/>
    <col min="15369" max="15369" width="13.83203125" style="14" customWidth="1"/>
    <col min="15370" max="15370" width="12.83203125" style="14" customWidth="1"/>
    <col min="15371" max="15372" width="13" style="14" customWidth="1"/>
    <col min="15373" max="15374" width="13.1640625" style="14" customWidth="1"/>
    <col min="15375" max="15376" width="13" style="14" customWidth="1"/>
    <col min="15377" max="15379" width="13.1640625" style="14" customWidth="1"/>
    <col min="15380" max="15380" width="13.5" style="14" customWidth="1"/>
    <col min="15381" max="15382" width="12.1640625" style="14" customWidth="1"/>
    <col min="15383" max="15383" width="13" style="14" customWidth="1"/>
    <col min="15384" max="15384" width="7.5" style="14" customWidth="1"/>
    <col min="15385" max="15385" width="16" style="14" customWidth="1"/>
    <col min="15386" max="15386" width="11" style="14" customWidth="1"/>
    <col min="15387" max="15387" width="9.5" style="14" customWidth="1"/>
    <col min="15388" max="15388" width="9.1640625" style="14" customWidth="1"/>
    <col min="15389" max="15619" width="8.83203125" style="14"/>
    <col min="15620" max="15620" width="5.5" style="14" customWidth="1"/>
    <col min="15621" max="15621" width="34.5" style="14" customWidth="1"/>
    <col min="15622" max="15622" width="30" style="14" customWidth="1"/>
    <col min="15623" max="15623" width="15" style="14" customWidth="1"/>
    <col min="15624" max="15624" width="12.5" style="14" customWidth="1"/>
    <col min="15625" max="15625" width="13.83203125" style="14" customWidth="1"/>
    <col min="15626" max="15626" width="12.83203125" style="14" customWidth="1"/>
    <col min="15627" max="15628" width="13" style="14" customWidth="1"/>
    <col min="15629" max="15630" width="13.1640625" style="14" customWidth="1"/>
    <col min="15631" max="15632" width="13" style="14" customWidth="1"/>
    <col min="15633" max="15635" width="13.1640625" style="14" customWidth="1"/>
    <col min="15636" max="15636" width="13.5" style="14" customWidth="1"/>
    <col min="15637" max="15638" width="12.1640625" style="14" customWidth="1"/>
    <col min="15639" max="15639" width="13" style="14" customWidth="1"/>
    <col min="15640" max="15640" width="7.5" style="14" customWidth="1"/>
    <col min="15641" max="15641" width="16" style="14" customWidth="1"/>
    <col min="15642" max="15642" width="11" style="14" customWidth="1"/>
    <col min="15643" max="15643" width="9.5" style="14" customWidth="1"/>
    <col min="15644" max="15644" width="9.1640625" style="14" customWidth="1"/>
    <col min="15645" max="15875" width="8.83203125" style="14"/>
    <col min="15876" max="15876" width="5.5" style="14" customWidth="1"/>
    <col min="15877" max="15877" width="34.5" style="14" customWidth="1"/>
    <col min="15878" max="15878" width="30" style="14" customWidth="1"/>
    <col min="15879" max="15879" width="15" style="14" customWidth="1"/>
    <col min="15880" max="15880" width="12.5" style="14" customWidth="1"/>
    <col min="15881" max="15881" width="13.83203125" style="14" customWidth="1"/>
    <col min="15882" max="15882" width="12.83203125" style="14" customWidth="1"/>
    <col min="15883" max="15884" width="13" style="14" customWidth="1"/>
    <col min="15885" max="15886" width="13.1640625" style="14" customWidth="1"/>
    <col min="15887" max="15888" width="13" style="14" customWidth="1"/>
    <col min="15889" max="15891" width="13.1640625" style="14" customWidth="1"/>
    <col min="15892" max="15892" width="13.5" style="14" customWidth="1"/>
    <col min="15893" max="15894" width="12.1640625" style="14" customWidth="1"/>
    <col min="15895" max="15895" width="13" style="14" customWidth="1"/>
    <col min="15896" max="15896" width="7.5" style="14" customWidth="1"/>
    <col min="15897" max="15897" width="16" style="14" customWidth="1"/>
    <col min="15898" max="15898" width="11" style="14" customWidth="1"/>
    <col min="15899" max="15899" width="9.5" style="14" customWidth="1"/>
    <col min="15900" max="15900" width="9.1640625" style="14" customWidth="1"/>
    <col min="15901" max="16131" width="8.83203125" style="14"/>
    <col min="16132" max="16132" width="5.5" style="14" customWidth="1"/>
    <col min="16133" max="16133" width="34.5" style="14" customWidth="1"/>
    <col min="16134" max="16134" width="30" style="14" customWidth="1"/>
    <col min="16135" max="16135" width="15" style="14" customWidth="1"/>
    <col min="16136" max="16136" width="12.5" style="14" customWidth="1"/>
    <col min="16137" max="16137" width="13.83203125" style="14" customWidth="1"/>
    <col min="16138" max="16138" width="12.83203125" style="14" customWidth="1"/>
    <col min="16139" max="16140" width="13" style="14" customWidth="1"/>
    <col min="16141" max="16142" width="13.1640625" style="14" customWidth="1"/>
    <col min="16143" max="16144" width="13" style="14" customWidth="1"/>
    <col min="16145" max="16147" width="13.1640625" style="14" customWidth="1"/>
    <col min="16148" max="16148" width="13.5" style="14" customWidth="1"/>
    <col min="16149" max="16150" width="12.1640625" style="14" customWidth="1"/>
    <col min="16151" max="16151" width="13" style="14" customWidth="1"/>
    <col min="16152" max="16152" width="7.5" style="14" customWidth="1"/>
    <col min="16153" max="16153" width="16" style="14" customWidth="1"/>
    <col min="16154" max="16154" width="11" style="14" customWidth="1"/>
    <col min="16155" max="16155" width="9.5" style="14" customWidth="1"/>
    <col min="16156" max="16156" width="9.1640625" style="14" customWidth="1"/>
    <col min="16157" max="16382" width="8.83203125" style="14"/>
    <col min="16383" max="16384" width="8.83203125" style="14" customWidth="1"/>
  </cols>
  <sheetData>
    <row r="2" spans="1:27" ht="15" customHeight="1" x14ac:dyDescent="0.15">
      <c r="F2" s="30"/>
      <c r="G2" s="30"/>
      <c r="H2" s="30"/>
      <c r="I2" s="30"/>
    </row>
    <row r="3" spans="1:27" ht="15" customHeight="1" x14ac:dyDescent="0.2">
      <c r="A3" s="84" t="s">
        <v>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32"/>
    </row>
    <row r="4" spans="1:27" ht="15" customHeight="1" x14ac:dyDescent="0.2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32"/>
    </row>
    <row r="5" spans="1:27" ht="15" customHeight="1" x14ac:dyDescent="0.2">
      <c r="A5" s="84" t="s">
        <v>57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32"/>
    </row>
    <row r="6" spans="1:27" ht="15" customHeight="1" x14ac:dyDescent="0.2">
      <c r="A6" s="84" t="s">
        <v>88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32"/>
    </row>
    <row r="7" spans="1:27" ht="15" customHeight="1" x14ac:dyDescent="0.2">
      <c r="A7" s="86" t="str">
        <f>A5</f>
        <v>PERIODE 01 - 31 Januari 2026</v>
      </c>
      <c r="B7" s="86"/>
      <c r="C7" s="86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2"/>
    </row>
    <row r="8" spans="1:27" ht="15" customHeight="1" thickBot="1" x14ac:dyDescent="0.2"/>
    <row r="9" spans="1:27" ht="15" customHeight="1" x14ac:dyDescent="0.15">
      <c r="A9" s="77" t="s">
        <v>2</v>
      </c>
      <c r="B9" s="79" t="s">
        <v>3</v>
      </c>
      <c r="C9" s="79" t="s">
        <v>4</v>
      </c>
      <c r="D9" s="79" t="s">
        <v>5</v>
      </c>
      <c r="E9" s="66" t="s">
        <v>6</v>
      </c>
      <c r="F9" s="66" t="s">
        <v>7</v>
      </c>
      <c r="G9" s="69" t="s">
        <v>29</v>
      </c>
      <c r="H9" s="82"/>
      <c r="I9" s="70"/>
      <c r="J9" s="69" t="s">
        <v>8</v>
      </c>
      <c r="K9" s="70"/>
      <c r="L9" s="73" t="s">
        <v>9</v>
      </c>
      <c r="M9" s="74"/>
      <c r="N9" s="69" t="s">
        <v>10</v>
      </c>
      <c r="O9" s="70"/>
      <c r="P9" s="69" t="s">
        <v>11</v>
      </c>
      <c r="Q9" s="70"/>
      <c r="R9" s="91" t="s">
        <v>12</v>
      </c>
      <c r="S9" s="74"/>
      <c r="T9" s="69" t="s">
        <v>13</v>
      </c>
      <c r="U9" s="70"/>
      <c r="V9" s="87" t="s">
        <v>14</v>
      </c>
      <c r="W9" s="89" t="s">
        <v>15</v>
      </c>
      <c r="X9" s="89"/>
      <c r="Y9" s="89"/>
      <c r="Z9" s="90"/>
      <c r="AA9" s="45"/>
    </row>
    <row r="10" spans="1:27" ht="24.75" customHeight="1" x14ac:dyDescent="0.15">
      <c r="A10" s="78"/>
      <c r="B10" s="80"/>
      <c r="C10" s="80"/>
      <c r="D10" s="80"/>
      <c r="E10" s="67"/>
      <c r="F10" s="67"/>
      <c r="G10" s="71"/>
      <c r="H10" s="83"/>
      <c r="I10" s="72"/>
      <c r="J10" s="71"/>
      <c r="K10" s="72"/>
      <c r="L10" s="75"/>
      <c r="M10" s="76"/>
      <c r="N10" s="71"/>
      <c r="O10" s="72"/>
      <c r="P10" s="71"/>
      <c r="Q10" s="72"/>
      <c r="R10" s="92"/>
      <c r="S10" s="76"/>
      <c r="T10" s="71"/>
      <c r="U10" s="72"/>
      <c r="V10" s="88"/>
      <c r="W10" s="35" t="s">
        <v>16</v>
      </c>
      <c r="X10" s="35" t="s">
        <v>17</v>
      </c>
      <c r="Y10" s="35" t="s">
        <v>18</v>
      </c>
      <c r="Z10" s="36" t="s">
        <v>19</v>
      </c>
    </row>
    <row r="11" spans="1:27" ht="15" customHeight="1" x14ac:dyDescent="0.15">
      <c r="A11" s="78"/>
      <c r="B11" s="81"/>
      <c r="C11" s="81"/>
      <c r="D11" s="81"/>
      <c r="E11" s="68"/>
      <c r="F11" s="68"/>
      <c r="G11" s="35" t="s">
        <v>26</v>
      </c>
      <c r="H11" s="35" t="s">
        <v>27</v>
      </c>
      <c r="I11" s="35" t="s">
        <v>28</v>
      </c>
      <c r="J11" s="38" t="s">
        <v>20</v>
      </c>
      <c r="K11" s="38" t="s">
        <v>21</v>
      </c>
      <c r="L11" s="38" t="s">
        <v>20</v>
      </c>
      <c r="M11" s="38" t="s">
        <v>21</v>
      </c>
      <c r="N11" s="38" t="s">
        <v>20</v>
      </c>
      <c r="O11" s="38" t="s">
        <v>21</v>
      </c>
      <c r="P11" s="38" t="s">
        <v>20</v>
      </c>
      <c r="Q11" s="38" t="s">
        <v>21</v>
      </c>
      <c r="R11" s="38" t="s">
        <v>20</v>
      </c>
      <c r="S11" s="38" t="s">
        <v>21</v>
      </c>
      <c r="T11" s="38" t="s">
        <v>20</v>
      </c>
      <c r="U11" s="38" t="s">
        <v>21</v>
      </c>
      <c r="V11" s="39"/>
      <c r="W11" s="38" t="s">
        <v>22</v>
      </c>
      <c r="X11" s="38" t="s">
        <v>22</v>
      </c>
      <c r="Y11" s="38" t="s">
        <v>22</v>
      </c>
      <c r="Z11" s="40" t="s">
        <v>22</v>
      </c>
      <c r="AA11" s="46"/>
    </row>
    <row r="12" spans="1:27" ht="16.25" customHeight="1" x14ac:dyDescent="0.15">
      <c r="A12" s="34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7"/>
      <c r="P12" s="38"/>
      <c r="Q12" s="38"/>
      <c r="R12" s="38"/>
      <c r="S12" s="38"/>
      <c r="T12" s="38"/>
      <c r="U12" s="37"/>
      <c r="V12" s="41"/>
      <c r="W12" s="38"/>
      <c r="X12" s="38"/>
      <c r="Y12" s="38"/>
      <c r="Z12" s="40"/>
      <c r="AA12" s="47"/>
    </row>
    <row r="13" spans="1:27" ht="16.25" customHeight="1" x14ac:dyDescent="0.15">
      <c r="A13" s="49">
        <v>1</v>
      </c>
      <c r="B13" s="50" t="s">
        <v>38</v>
      </c>
      <c r="C13" s="50" t="s">
        <v>44</v>
      </c>
      <c r="D13" s="51" t="s">
        <v>32</v>
      </c>
      <c r="E13" s="52">
        <v>46022</v>
      </c>
      <c r="F13" s="52">
        <v>46023</v>
      </c>
      <c r="G13" s="51">
        <v>30039322</v>
      </c>
      <c r="H13" s="51">
        <v>30069322</v>
      </c>
      <c r="I13" s="6">
        <f t="shared" ref="I13:I92" si="0">H13-G13</f>
        <v>30000</v>
      </c>
      <c r="J13" s="8">
        <v>30</v>
      </c>
      <c r="K13" s="8">
        <v>29.646000000000001</v>
      </c>
      <c r="L13" s="8" t="s">
        <v>30</v>
      </c>
      <c r="M13" s="8" t="s">
        <v>30</v>
      </c>
      <c r="N13" s="8">
        <v>30</v>
      </c>
      <c r="O13" s="8">
        <v>29.646000000000001</v>
      </c>
      <c r="P13" s="8">
        <v>30</v>
      </c>
      <c r="Q13" s="8">
        <v>29.645</v>
      </c>
      <c r="R13" s="53" t="s">
        <v>30</v>
      </c>
      <c r="S13" s="53" t="s">
        <v>30</v>
      </c>
      <c r="T13" s="8">
        <v>30.1</v>
      </c>
      <c r="U13" s="8">
        <v>29.742999999999999</v>
      </c>
      <c r="V13" s="11">
        <f t="shared" ref="V13:V92" si="1">T13-J13</f>
        <v>0.10000000000000142</v>
      </c>
      <c r="W13" s="12">
        <f t="shared" ref="W13:W24" si="2">IFERROR((N13-L13-J13)/J13*100,0)</f>
        <v>0</v>
      </c>
      <c r="X13" s="12">
        <f t="shared" ref="X13:X92" si="3">IFERROR((P13-N13)/J13*100,0)</f>
        <v>0</v>
      </c>
      <c r="Y13" s="12">
        <f t="shared" ref="Y13:Y78" si="4">IFERROR(((T13-(P13-R13))/(P13-R13))*100,0)</f>
        <v>0</v>
      </c>
      <c r="Z13" s="13">
        <f t="shared" ref="Z13:Z92" si="5">IFERROR((V13/J13)*100,0)</f>
        <v>0.33333333333333809</v>
      </c>
      <c r="AA13" s="47"/>
    </row>
    <row r="14" spans="1:27" ht="16.25" customHeight="1" x14ac:dyDescent="0.15">
      <c r="A14" s="49">
        <v>2</v>
      </c>
      <c r="B14" s="50" t="s">
        <v>31</v>
      </c>
      <c r="C14" s="50" t="s">
        <v>45</v>
      </c>
      <c r="D14" s="51" t="s">
        <v>32</v>
      </c>
      <c r="E14" s="52">
        <v>46024</v>
      </c>
      <c r="F14" s="52">
        <v>46024</v>
      </c>
      <c r="G14" s="51">
        <v>2772420</v>
      </c>
      <c r="H14" s="51">
        <v>2802420</v>
      </c>
      <c r="I14" s="6">
        <f t="shared" si="0"/>
        <v>30000</v>
      </c>
      <c r="J14" s="8">
        <v>30</v>
      </c>
      <c r="K14" s="8">
        <v>29.643999999999998</v>
      </c>
      <c r="L14" s="8" t="s">
        <v>30</v>
      </c>
      <c r="M14" s="8" t="s">
        <v>30</v>
      </c>
      <c r="N14" s="8">
        <v>30</v>
      </c>
      <c r="O14" s="8">
        <v>29.643999999999998</v>
      </c>
      <c r="P14" s="8">
        <v>30</v>
      </c>
      <c r="Q14" s="8">
        <v>29.645</v>
      </c>
      <c r="R14" s="53" t="s">
        <v>30</v>
      </c>
      <c r="S14" s="53" t="s">
        <v>30</v>
      </c>
      <c r="T14" s="8">
        <v>30</v>
      </c>
      <c r="U14" s="8">
        <v>29.645</v>
      </c>
      <c r="V14" s="11">
        <f t="shared" si="1"/>
        <v>0</v>
      </c>
      <c r="W14" s="12">
        <f t="shared" si="2"/>
        <v>0</v>
      </c>
      <c r="X14" s="12">
        <f t="shared" si="3"/>
        <v>0</v>
      </c>
      <c r="Y14" s="12">
        <f t="shared" si="4"/>
        <v>0</v>
      </c>
      <c r="Z14" s="13">
        <f t="shared" si="5"/>
        <v>0</v>
      </c>
      <c r="AA14" s="47"/>
    </row>
    <row r="15" spans="1:27" ht="16.25" customHeight="1" x14ac:dyDescent="0.15">
      <c r="A15" s="49">
        <v>3</v>
      </c>
      <c r="B15" s="50" t="s">
        <v>38</v>
      </c>
      <c r="C15" s="50" t="s">
        <v>46</v>
      </c>
      <c r="D15" s="51" t="s">
        <v>32</v>
      </c>
      <c r="E15" s="52">
        <v>45663</v>
      </c>
      <c r="F15" s="52">
        <v>45663</v>
      </c>
      <c r="G15" s="51">
        <v>19916434</v>
      </c>
      <c r="H15" s="51">
        <v>19991434</v>
      </c>
      <c r="I15" s="6">
        <f t="shared" si="0"/>
        <v>75000</v>
      </c>
      <c r="J15" s="8">
        <v>75</v>
      </c>
      <c r="K15" s="8">
        <v>74.111999999999995</v>
      </c>
      <c r="L15" s="8" t="s">
        <v>30</v>
      </c>
      <c r="M15" s="8" t="s">
        <v>30</v>
      </c>
      <c r="N15" s="8">
        <v>75</v>
      </c>
      <c r="O15" s="8">
        <v>74.111999999999995</v>
      </c>
      <c r="P15" s="8">
        <v>75</v>
      </c>
      <c r="Q15" s="8">
        <v>74.004000000000005</v>
      </c>
      <c r="R15" s="53" t="s">
        <v>30</v>
      </c>
      <c r="S15" s="53" t="s">
        <v>30</v>
      </c>
      <c r="T15" s="8">
        <v>75.099999999999994</v>
      </c>
      <c r="U15" s="8">
        <v>74.102999999999994</v>
      </c>
      <c r="V15" s="11">
        <f t="shared" si="1"/>
        <v>9.9999999999994316E-2</v>
      </c>
      <c r="W15" s="12">
        <f t="shared" si="2"/>
        <v>0</v>
      </c>
      <c r="X15" s="12">
        <f t="shared" si="3"/>
        <v>0</v>
      </c>
      <c r="Y15" s="12">
        <f t="shared" si="4"/>
        <v>0</v>
      </c>
      <c r="Z15" s="13">
        <f t="shared" si="5"/>
        <v>0.13333333333332575</v>
      </c>
      <c r="AA15" s="47"/>
    </row>
    <row r="16" spans="1:27" ht="16.25" customHeight="1" x14ac:dyDescent="0.15">
      <c r="A16" s="49">
        <v>4</v>
      </c>
      <c r="B16" s="50" t="s">
        <v>38</v>
      </c>
      <c r="C16" s="50" t="s">
        <v>71</v>
      </c>
      <c r="D16" s="51" t="s">
        <v>32</v>
      </c>
      <c r="E16" s="52">
        <v>45672</v>
      </c>
      <c r="F16" s="52">
        <v>46038</v>
      </c>
      <c r="G16" s="51">
        <v>39623572</v>
      </c>
      <c r="H16" s="51">
        <v>39653572</v>
      </c>
      <c r="I16" s="6">
        <f t="shared" si="0"/>
        <v>30000</v>
      </c>
      <c r="J16" s="8">
        <v>30</v>
      </c>
      <c r="K16" s="8">
        <v>29.645</v>
      </c>
      <c r="L16" s="8" t="s">
        <v>30</v>
      </c>
      <c r="M16" s="8" t="s">
        <v>30</v>
      </c>
      <c r="N16" s="8">
        <v>30</v>
      </c>
      <c r="O16" s="8">
        <v>29.645</v>
      </c>
      <c r="P16" s="8">
        <v>30</v>
      </c>
      <c r="Q16" s="8">
        <v>29.667999999999999</v>
      </c>
      <c r="R16" s="53" t="s">
        <v>30</v>
      </c>
      <c r="S16" s="53" t="s">
        <v>30</v>
      </c>
      <c r="T16" s="8">
        <v>30</v>
      </c>
      <c r="U16" s="8">
        <v>29.687999999999999</v>
      </c>
      <c r="V16" s="11">
        <f t="shared" si="1"/>
        <v>0</v>
      </c>
      <c r="W16" s="12">
        <f t="shared" si="2"/>
        <v>0</v>
      </c>
      <c r="X16" s="12">
        <f t="shared" si="3"/>
        <v>0</v>
      </c>
      <c r="Y16" s="12">
        <f t="shared" si="4"/>
        <v>0</v>
      </c>
      <c r="Z16" s="13">
        <f t="shared" si="5"/>
        <v>0</v>
      </c>
      <c r="AA16" s="47"/>
    </row>
    <row r="17" spans="1:27" ht="16.25" customHeight="1" x14ac:dyDescent="0.15">
      <c r="A17" s="49">
        <v>5</v>
      </c>
      <c r="B17" s="50" t="s">
        <v>31</v>
      </c>
      <c r="C17" s="50" t="s">
        <v>72</v>
      </c>
      <c r="D17" s="51" t="s">
        <v>32</v>
      </c>
      <c r="E17" s="52">
        <v>46037</v>
      </c>
      <c r="F17" s="52">
        <v>46038</v>
      </c>
      <c r="G17" s="51">
        <v>16271021</v>
      </c>
      <c r="H17" s="51">
        <v>16301023</v>
      </c>
      <c r="I17" s="6">
        <f t="shared" si="0"/>
        <v>30002</v>
      </c>
      <c r="J17" s="8">
        <v>30</v>
      </c>
      <c r="K17" s="8">
        <v>29.646000000000001</v>
      </c>
      <c r="L17" s="8" t="s">
        <v>30</v>
      </c>
      <c r="M17" s="8" t="s">
        <v>30</v>
      </c>
      <c r="N17" s="8">
        <v>30</v>
      </c>
      <c r="O17" s="8">
        <v>29.646000000000001</v>
      </c>
      <c r="P17" s="8">
        <v>30</v>
      </c>
      <c r="Q17" s="8">
        <v>29.625</v>
      </c>
      <c r="R17" s="53" t="s">
        <v>30</v>
      </c>
      <c r="S17" s="53" t="s">
        <v>30</v>
      </c>
      <c r="T17" s="8">
        <v>30</v>
      </c>
      <c r="U17" s="8">
        <v>29.625</v>
      </c>
      <c r="V17" s="11">
        <f t="shared" si="1"/>
        <v>0</v>
      </c>
      <c r="W17" s="12">
        <f t="shared" si="2"/>
        <v>0</v>
      </c>
      <c r="X17" s="12">
        <f t="shared" si="3"/>
        <v>0</v>
      </c>
      <c r="Y17" s="12">
        <f t="shared" si="4"/>
        <v>0</v>
      </c>
      <c r="Z17" s="13">
        <f t="shared" si="5"/>
        <v>0</v>
      </c>
      <c r="AA17" s="47"/>
    </row>
    <row r="18" spans="1:27" ht="16.25" customHeight="1" x14ac:dyDescent="0.15">
      <c r="A18" s="49">
        <v>6</v>
      </c>
      <c r="B18" s="50" t="s">
        <v>38</v>
      </c>
      <c r="C18" s="50" t="s">
        <v>44</v>
      </c>
      <c r="D18" s="51" t="s">
        <v>32</v>
      </c>
      <c r="E18" s="62">
        <v>45677</v>
      </c>
      <c r="F18" s="52">
        <v>46043</v>
      </c>
      <c r="G18" s="51">
        <v>30838169</v>
      </c>
      <c r="H18" s="51">
        <v>30921169</v>
      </c>
      <c r="I18" s="6">
        <f t="shared" si="0"/>
        <v>83000</v>
      </c>
      <c r="J18" s="8">
        <v>83</v>
      </c>
      <c r="K18" s="8">
        <v>82.02</v>
      </c>
      <c r="L18" s="8" t="s">
        <v>30</v>
      </c>
      <c r="M18" s="8" t="s">
        <v>30</v>
      </c>
      <c r="N18" s="8">
        <v>83</v>
      </c>
      <c r="O18" s="8">
        <v>82.02</v>
      </c>
      <c r="P18" s="8">
        <v>83</v>
      </c>
      <c r="Q18" s="8">
        <v>82.016999999999996</v>
      </c>
      <c r="R18" s="53" t="s">
        <v>30</v>
      </c>
      <c r="S18" s="53" t="s">
        <v>30</v>
      </c>
      <c r="T18" s="8">
        <v>83</v>
      </c>
      <c r="U18" s="8">
        <v>82.016999999999996</v>
      </c>
      <c r="V18" s="11">
        <f t="shared" si="1"/>
        <v>0</v>
      </c>
      <c r="W18" s="12">
        <f t="shared" si="2"/>
        <v>0</v>
      </c>
      <c r="X18" s="12">
        <f t="shared" si="3"/>
        <v>0</v>
      </c>
      <c r="Y18" s="12">
        <f t="shared" si="4"/>
        <v>0</v>
      </c>
      <c r="Z18" s="13">
        <f t="shared" si="5"/>
        <v>0</v>
      </c>
      <c r="AA18" s="47"/>
    </row>
    <row r="19" spans="1:27" ht="16.25" customHeight="1" x14ac:dyDescent="0.15">
      <c r="A19" s="49">
        <v>7</v>
      </c>
      <c r="B19" s="50" t="s">
        <v>38</v>
      </c>
      <c r="C19" s="50" t="s">
        <v>85</v>
      </c>
      <c r="D19" s="51" t="s">
        <v>32</v>
      </c>
      <c r="E19" s="52">
        <v>46051</v>
      </c>
      <c r="F19" s="52">
        <v>46051</v>
      </c>
      <c r="G19" s="51">
        <v>20571575</v>
      </c>
      <c r="H19" s="51">
        <v>20601575</v>
      </c>
      <c r="I19" s="6">
        <f t="shared" si="0"/>
        <v>30000</v>
      </c>
      <c r="J19" s="8">
        <v>30</v>
      </c>
      <c r="K19" s="8">
        <v>29.645</v>
      </c>
      <c r="L19" s="8" t="s">
        <v>30</v>
      </c>
      <c r="M19" s="8" t="s">
        <v>30</v>
      </c>
      <c r="N19" s="8">
        <v>30</v>
      </c>
      <c r="O19" s="8">
        <v>29.645</v>
      </c>
      <c r="P19" s="8">
        <v>30</v>
      </c>
      <c r="Q19" s="8">
        <v>29.646000000000001</v>
      </c>
      <c r="R19" s="53" t="s">
        <v>30</v>
      </c>
      <c r="S19" s="53" t="s">
        <v>30</v>
      </c>
      <c r="T19" s="8">
        <v>30</v>
      </c>
      <c r="U19" s="8">
        <v>29.646000000000001</v>
      </c>
      <c r="V19" s="11">
        <f t="shared" si="1"/>
        <v>0</v>
      </c>
      <c r="W19" s="12">
        <f t="shared" si="2"/>
        <v>0</v>
      </c>
      <c r="X19" s="12">
        <f t="shared" si="3"/>
        <v>0</v>
      </c>
      <c r="Y19" s="12">
        <f t="shared" si="4"/>
        <v>0</v>
      </c>
      <c r="Z19" s="13">
        <f t="shared" si="5"/>
        <v>0</v>
      </c>
      <c r="AA19" s="47"/>
    </row>
    <row r="20" spans="1:27" ht="16.25" customHeight="1" x14ac:dyDescent="0.15">
      <c r="A20" s="49">
        <v>8</v>
      </c>
      <c r="B20" s="50" t="s">
        <v>31</v>
      </c>
      <c r="C20" s="50" t="s">
        <v>85</v>
      </c>
      <c r="D20" s="51" t="s">
        <v>32</v>
      </c>
      <c r="E20" s="52">
        <v>46052</v>
      </c>
      <c r="F20" s="52">
        <v>46052</v>
      </c>
      <c r="G20" s="51">
        <v>20602009</v>
      </c>
      <c r="H20" s="51">
        <v>20632009</v>
      </c>
      <c r="I20" s="6">
        <f t="shared" si="0"/>
        <v>30000</v>
      </c>
      <c r="J20" s="8">
        <v>30</v>
      </c>
      <c r="K20" s="8">
        <v>29.643999999999998</v>
      </c>
      <c r="L20" s="8" t="s">
        <v>30</v>
      </c>
      <c r="M20" s="8" t="s">
        <v>30</v>
      </c>
      <c r="N20" s="8">
        <v>30</v>
      </c>
      <c r="O20" s="8">
        <v>29.643999999999998</v>
      </c>
      <c r="P20" s="8">
        <v>30</v>
      </c>
      <c r="Q20" s="8">
        <v>29.645</v>
      </c>
      <c r="R20" s="53" t="s">
        <v>30</v>
      </c>
      <c r="S20" s="53" t="s">
        <v>30</v>
      </c>
      <c r="T20" s="8">
        <v>30</v>
      </c>
      <c r="U20" s="8">
        <v>29.645</v>
      </c>
      <c r="V20" s="11">
        <f t="shared" si="1"/>
        <v>0</v>
      </c>
      <c r="W20" s="12">
        <f t="shared" si="2"/>
        <v>0</v>
      </c>
      <c r="X20" s="12">
        <f t="shared" si="3"/>
        <v>0</v>
      </c>
      <c r="Y20" s="12">
        <f t="shared" si="4"/>
        <v>0</v>
      </c>
      <c r="Z20" s="13">
        <f t="shared" si="5"/>
        <v>0</v>
      </c>
      <c r="AA20" s="47"/>
    </row>
    <row r="21" spans="1:27" ht="16.25" customHeight="1" x14ac:dyDescent="0.15">
      <c r="A21" s="49">
        <v>9</v>
      </c>
      <c r="B21" s="50" t="s">
        <v>60</v>
      </c>
      <c r="C21" s="50" t="s">
        <v>61</v>
      </c>
      <c r="D21" s="51" t="s">
        <v>40</v>
      </c>
      <c r="E21" s="52">
        <v>46031</v>
      </c>
      <c r="F21" s="52">
        <v>46033</v>
      </c>
      <c r="G21" s="51">
        <v>10529467</v>
      </c>
      <c r="H21" s="51">
        <v>10564362</v>
      </c>
      <c r="I21" s="6">
        <f t="shared" si="0"/>
        <v>34895</v>
      </c>
      <c r="J21" s="8">
        <v>348.94</v>
      </c>
      <c r="K21" s="8">
        <v>345.07799999999997</v>
      </c>
      <c r="L21" s="8" t="s">
        <v>30</v>
      </c>
      <c r="M21" s="8" t="s">
        <v>30</v>
      </c>
      <c r="N21" s="8">
        <v>347.92099999999999</v>
      </c>
      <c r="O21" s="8">
        <v>344.06900000000002</v>
      </c>
      <c r="P21" s="8">
        <v>347.577</v>
      </c>
      <c r="Q21" s="8">
        <v>343.73</v>
      </c>
      <c r="R21" s="53" t="s">
        <v>30</v>
      </c>
      <c r="S21" s="53" t="s">
        <v>30</v>
      </c>
      <c r="T21" s="8">
        <v>348.952</v>
      </c>
      <c r="U21" s="8">
        <v>345.09</v>
      </c>
      <c r="V21" s="11">
        <f t="shared" si="1"/>
        <v>1.2000000000000455E-2</v>
      </c>
      <c r="W21" s="12">
        <f t="shared" si="2"/>
        <v>0</v>
      </c>
      <c r="X21" s="12">
        <f t="shared" si="3"/>
        <v>-9.8584283831029421E-2</v>
      </c>
      <c r="Y21" s="12">
        <f t="shared" si="4"/>
        <v>0</v>
      </c>
      <c r="Z21" s="13">
        <f t="shared" si="5"/>
        <v>3.4389866452686582E-3</v>
      </c>
      <c r="AA21" s="47"/>
    </row>
    <row r="22" spans="1:27" ht="16.25" customHeight="1" x14ac:dyDescent="0.15">
      <c r="A22" s="49">
        <v>10</v>
      </c>
      <c r="B22" s="50" t="s">
        <v>69</v>
      </c>
      <c r="C22" s="50" t="s">
        <v>61</v>
      </c>
      <c r="D22" s="51" t="s">
        <v>40</v>
      </c>
      <c r="E22" s="52">
        <v>46032</v>
      </c>
      <c r="F22" s="52">
        <v>46034</v>
      </c>
      <c r="G22" s="51">
        <v>10582018</v>
      </c>
      <c r="H22" s="51">
        <v>10629218</v>
      </c>
      <c r="I22" s="6">
        <f t="shared" si="0"/>
        <v>47200</v>
      </c>
      <c r="J22" s="8">
        <v>472</v>
      </c>
      <c r="K22" s="8">
        <v>464.87700000000001</v>
      </c>
      <c r="L22" s="8" t="s">
        <v>30</v>
      </c>
      <c r="M22" s="8" t="s">
        <v>30</v>
      </c>
      <c r="N22" s="8">
        <v>470.75599999999997</v>
      </c>
      <c r="O22" s="8">
        <v>463.65100000000001</v>
      </c>
      <c r="P22" s="8">
        <v>471.82600000000002</v>
      </c>
      <c r="Q22" s="8">
        <v>465.08300000000003</v>
      </c>
      <c r="R22" s="53" t="s">
        <v>30</v>
      </c>
      <c r="S22" s="53" t="s">
        <v>30</v>
      </c>
      <c r="T22" s="8">
        <v>472.01499999999999</v>
      </c>
      <c r="U22" s="8">
        <v>465.26900000000001</v>
      </c>
      <c r="V22" s="11">
        <f t="shared" si="1"/>
        <v>1.4999999999986358E-2</v>
      </c>
      <c r="W22" s="12">
        <f t="shared" si="2"/>
        <v>0</v>
      </c>
      <c r="X22" s="12">
        <f t="shared" si="3"/>
        <v>0.2266949152542479</v>
      </c>
      <c r="Y22" s="12">
        <f t="shared" si="4"/>
        <v>0</v>
      </c>
      <c r="Z22" s="13">
        <f t="shared" si="5"/>
        <v>3.1779661016920254E-3</v>
      </c>
      <c r="AA22" s="47"/>
    </row>
    <row r="23" spans="1:27" ht="16.25" customHeight="1" x14ac:dyDescent="0.15">
      <c r="A23" s="49">
        <v>11</v>
      </c>
      <c r="B23" s="50" t="s">
        <v>60</v>
      </c>
      <c r="C23" s="50" t="s">
        <v>61</v>
      </c>
      <c r="D23" s="51" t="s">
        <v>40</v>
      </c>
      <c r="E23" s="52">
        <v>46043</v>
      </c>
      <c r="F23" s="52">
        <v>46044</v>
      </c>
      <c r="G23" s="51">
        <v>10953579</v>
      </c>
      <c r="H23" s="51">
        <v>10998776</v>
      </c>
      <c r="I23" s="6">
        <f t="shared" si="0"/>
        <v>45197</v>
      </c>
      <c r="J23" s="8">
        <v>451.97</v>
      </c>
      <c r="K23" s="8">
        <v>444.83100000000002</v>
      </c>
      <c r="L23" s="8" t="s">
        <v>30</v>
      </c>
      <c r="M23" s="8" t="s">
        <v>30</v>
      </c>
      <c r="N23" s="8">
        <v>450.89299999999997</v>
      </c>
      <c r="O23" s="8">
        <v>443.79500000000002</v>
      </c>
      <c r="P23" s="8">
        <v>450.50799999999998</v>
      </c>
      <c r="Q23" s="8">
        <v>443.416</v>
      </c>
      <c r="R23" s="53" t="s">
        <v>30</v>
      </c>
      <c r="S23" s="53" t="s">
        <v>30</v>
      </c>
      <c r="T23" s="8">
        <v>452.005</v>
      </c>
      <c r="U23" s="8">
        <v>444.89</v>
      </c>
      <c r="V23" s="11">
        <f t="shared" si="1"/>
        <v>3.4999999999968168E-2</v>
      </c>
      <c r="W23" s="12">
        <f t="shared" si="2"/>
        <v>0</v>
      </c>
      <c r="X23" s="12">
        <f t="shared" si="3"/>
        <v>-8.5182644865807663E-2</v>
      </c>
      <c r="Y23" s="12">
        <f t="shared" si="4"/>
        <v>0</v>
      </c>
      <c r="Z23" s="13">
        <f t="shared" si="5"/>
        <v>7.7438768059756545E-3</v>
      </c>
      <c r="AA23" s="47"/>
    </row>
    <row r="24" spans="1:27" ht="16.25" customHeight="1" x14ac:dyDescent="0.15">
      <c r="A24" s="49">
        <v>12</v>
      </c>
      <c r="B24" s="50" t="s">
        <v>69</v>
      </c>
      <c r="C24" s="50" t="s">
        <v>61</v>
      </c>
      <c r="D24" s="51" t="s">
        <v>40</v>
      </c>
      <c r="E24" s="52">
        <v>46051</v>
      </c>
      <c r="F24" s="52">
        <v>46048</v>
      </c>
      <c r="G24" s="51">
        <v>11085446</v>
      </c>
      <c r="H24" s="51">
        <v>11133029</v>
      </c>
      <c r="I24" s="6">
        <f t="shared" si="0"/>
        <v>47583</v>
      </c>
      <c r="J24" s="8">
        <v>475.83</v>
      </c>
      <c r="K24" s="8">
        <v>469.41</v>
      </c>
      <c r="L24" s="8" t="s">
        <v>30</v>
      </c>
      <c r="M24" s="8" t="s">
        <v>30</v>
      </c>
      <c r="N24" s="8">
        <v>474.81400000000002</v>
      </c>
      <c r="O24" s="8">
        <v>468.459</v>
      </c>
      <c r="P24" s="8">
        <v>474.517</v>
      </c>
      <c r="Q24" s="8">
        <v>468.21899999999999</v>
      </c>
      <c r="R24" s="53" t="s">
        <v>30</v>
      </c>
      <c r="S24" s="53" t="s">
        <v>30</v>
      </c>
      <c r="T24" s="8">
        <v>475.86</v>
      </c>
      <c r="U24" s="8">
        <v>469.49099999999999</v>
      </c>
      <c r="V24" s="11">
        <f t="shared" si="1"/>
        <v>3.0000000000029559E-2</v>
      </c>
      <c r="W24" s="12">
        <f t="shared" si="2"/>
        <v>0</v>
      </c>
      <c r="X24" s="12">
        <f t="shared" si="3"/>
        <v>-6.241724985814797E-2</v>
      </c>
      <c r="Y24" s="12">
        <f t="shared" si="4"/>
        <v>0</v>
      </c>
      <c r="Z24" s="13">
        <f t="shared" si="5"/>
        <v>6.3047727129499102E-3</v>
      </c>
      <c r="AA24" s="47"/>
    </row>
    <row r="25" spans="1:27" ht="16.25" customHeight="1" x14ac:dyDescent="0.15">
      <c r="A25" s="49">
        <v>13</v>
      </c>
      <c r="B25" s="50" t="s">
        <v>39</v>
      </c>
      <c r="C25" s="51" t="s">
        <v>30</v>
      </c>
      <c r="D25" s="51" t="s">
        <v>33</v>
      </c>
      <c r="E25" s="52" t="s">
        <v>30</v>
      </c>
      <c r="F25" s="52">
        <v>46027</v>
      </c>
      <c r="G25" s="51">
        <v>40228815</v>
      </c>
      <c r="H25" s="51">
        <v>40246115</v>
      </c>
      <c r="I25" s="6">
        <f t="shared" si="0"/>
        <v>17300</v>
      </c>
      <c r="J25" s="8">
        <v>173</v>
      </c>
      <c r="K25" s="8">
        <v>171.34899999999999</v>
      </c>
      <c r="L25" s="8" t="s">
        <v>30</v>
      </c>
      <c r="M25" s="8" t="s">
        <v>30</v>
      </c>
      <c r="N25" s="53" t="s">
        <v>30</v>
      </c>
      <c r="O25" s="53" t="s">
        <v>30</v>
      </c>
      <c r="P25" s="53" t="s">
        <v>30</v>
      </c>
      <c r="Q25" s="53" t="s">
        <v>30</v>
      </c>
      <c r="R25" s="53" t="s">
        <v>30</v>
      </c>
      <c r="S25" s="53" t="s">
        <v>30</v>
      </c>
      <c r="T25" s="8">
        <v>173.02</v>
      </c>
      <c r="U25" s="8">
        <v>171.369</v>
      </c>
      <c r="V25" s="11">
        <f t="shared" si="1"/>
        <v>2.0000000000010232E-2</v>
      </c>
      <c r="W25" s="12" t="s">
        <v>30</v>
      </c>
      <c r="X25" s="12" t="s">
        <v>30</v>
      </c>
      <c r="Y25" s="12" t="s">
        <v>30</v>
      </c>
      <c r="Z25" s="13">
        <f t="shared" si="5"/>
        <v>1.156069364162441E-2</v>
      </c>
      <c r="AA25" s="47"/>
    </row>
    <row r="26" spans="1:27" ht="16.25" customHeight="1" x14ac:dyDescent="0.15">
      <c r="A26" s="49">
        <v>14</v>
      </c>
      <c r="B26" s="50" t="s">
        <v>31</v>
      </c>
      <c r="C26" s="51" t="s">
        <v>30</v>
      </c>
      <c r="D26" s="51" t="s">
        <v>33</v>
      </c>
      <c r="E26" s="52" t="s">
        <v>30</v>
      </c>
      <c r="F26" s="52">
        <v>46028</v>
      </c>
      <c r="G26" s="51">
        <v>40248615</v>
      </c>
      <c r="H26" s="51">
        <v>40256115</v>
      </c>
      <c r="I26" s="6">
        <f t="shared" si="0"/>
        <v>7500</v>
      </c>
      <c r="J26" s="8">
        <v>75</v>
      </c>
      <c r="K26" s="8">
        <v>74.253</v>
      </c>
      <c r="L26" s="8" t="s">
        <v>30</v>
      </c>
      <c r="M26" s="8" t="s">
        <v>30</v>
      </c>
      <c r="N26" s="53" t="s">
        <v>30</v>
      </c>
      <c r="O26" s="53" t="s">
        <v>30</v>
      </c>
      <c r="P26" s="53" t="s">
        <v>30</v>
      </c>
      <c r="Q26" s="53" t="s">
        <v>30</v>
      </c>
      <c r="R26" s="53" t="s">
        <v>30</v>
      </c>
      <c r="S26" s="53" t="s">
        <v>30</v>
      </c>
      <c r="T26" s="8">
        <v>75</v>
      </c>
      <c r="U26" s="8">
        <v>74.253</v>
      </c>
      <c r="V26" s="11">
        <f t="shared" si="1"/>
        <v>0</v>
      </c>
      <c r="W26" s="12" t="s">
        <v>30</v>
      </c>
      <c r="X26" s="12" t="s">
        <v>30</v>
      </c>
      <c r="Y26" s="12" t="s">
        <v>30</v>
      </c>
      <c r="Z26" s="13">
        <f t="shared" si="5"/>
        <v>0</v>
      </c>
      <c r="AA26" s="47"/>
    </row>
    <row r="27" spans="1:27" ht="16.25" customHeight="1" x14ac:dyDescent="0.15">
      <c r="A27" s="49">
        <v>15</v>
      </c>
      <c r="B27" s="50" t="s">
        <v>73</v>
      </c>
      <c r="C27" s="51" t="s">
        <v>30</v>
      </c>
      <c r="D27" s="51" t="s">
        <v>33</v>
      </c>
      <c r="E27" s="52" t="s">
        <v>30</v>
      </c>
      <c r="F27" s="52">
        <v>46037</v>
      </c>
      <c r="G27" s="51">
        <v>40264119</v>
      </c>
      <c r="H27" s="51">
        <v>40276119</v>
      </c>
      <c r="I27" s="6">
        <f t="shared" si="0"/>
        <v>12000</v>
      </c>
      <c r="J27" s="8">
        <v>120</v>
      </c>
      <c r="K27" s="8">
        <v>118.86</v>
      </c>
      <c r="L27" s="8" t="s">
        <v>30</v>
      </c>
      <c r="M27" s="8" t="s">
        <v>30</v>
      </c>
      <c r="N27" s="53" t="s">
        <v>30</v>
      </c>
      <c r="O27" s="53" t="s">
        <v>30</v>
      </c>
      <c r="P27" s="53" t="s">
        <v>30</v>
      </c>
      <c r="Q27" s="53" t="s">
        <v>30</v>
      </c>
      <c r="R27" s="53" t="s">
        <v>30</v>
      </c>
      <c r="S27" s="53" t="s">
        <v>30</v>
      </c>
      <c r="T27" s="8">
        <v>120</v>
      </c>
      <c r="U27" s="8">
        <v>118.86</v>
      </c>
      <c r="V27" s="11">
        <f t="shared" si="1"/>
        <v>0</v>
      </c>
      <c r="W27" s="12" t="s">
        <v>30</v>
      </c>
      <c r="X27" s="12" t="s">
        <v>30</v>
      </c>
      <c r="Y27" s="12" t="s">
        <v>30</v>
      </c>
      <c r="Z27" s="13">
        <f t="shared" si="5"/>
        <v>0</v>
      </c>
      <c r="AA27" s="47"/>
    </row>
    <row r="28" spans="1:27" ht="16.25" customHeight="1" x14ac:dyDescent="0.15">
      <c r="A28" s="49">
        <v>16</v>
      </c>
      <c r="B28" s="50" t="s">
        <v>39</v>
      </c>
      <c r="C28" s="51" t="s">
        <v>30</v>
      </c>
      <c r="D28" s="51" t="s">
        <v>33</v>
      </c>
      <c r="E28" s="52" t="s">
        <v>30</v>
      </c>
      <c r="F28" s="52">
        <v>46042</v>
      </c>
      <c r="G28" s="51">
        <v>40282325</v>
      </c>
      <c r="H28" s="51">
        <v>40289425</v>
      </c>
      <c r="I28" s="6">
        <f t="shared" si="0"/>
        <v>7100</v>
      </c>
      <c r="J28" s="8">
        <v>71</v>
      </c>
      <c r="K28" s="8">
        <v>70.212999999999994</v>
      </c>
      <c r="L28" s="8" t="s">
        <v>30</v>
      </c>
      <c r="M28" s="8" t="s">
        <v>30</v>
      </c>
      <c r="N28" s="53" t="s">
        <v>30</v>
      </c>
      <c r="O28" s="53" t="s">
        <v>30</v>
      </c>
      <c r="P28" s="53" t="s">
        <v>30</v>
      </c>
      <c r="Q28" s="53" t="s">
        <v>30</v>
      </c>
      <c r="R28" s="53" t="s">
        <v>30</v>
      </c>
      <c r="S28" s="53" t="s">
        <v>30</v>
      </c>
      <c r="T28" s="8">
        <v>71</v>
      </c>
      <c r="U28" s="8">
        <v>70.212999999999994</v>
      </c>
      <c r="V28" s="11">
        <f t="shared" si="1"/>
        <v>0</v>
      </c>
      <c r="W28" s="12" t="s">
        <v>30</v>
      </c>
      <c r="X28" s="12" t="s">
        <v>30</v>
      </c>
      <c r="Y28" s="12" t="s">
        <v>30</v>
      </c>
      <c r="Z28" s="13">
        <f t="shared" si="5"/>
        <v>0</v>
      </c>
      <c r="AA28" s="47"/>
    </row>
    <row r="29" spans="1:27" ht="16.25" customHeight="1" x14ac:dyDescent="0.15">
      <c r="A29" s="49">
        <v>17</v>
      </c>
      <c r="B29" s="50" t="s">
        <v>31</v>
      </c>
      <c r="C29" s="51" t="s">
        <v>30</v>
      </c>
      <c r="D29" s="51" t="s">
        <v>33</v>
      </c>
      <c r="E29" s="52" t="s">
        <v>30</v>
      </c>
      <c r="F29" s="52">
        <v>46043</v>
      </c>
      <c r="G29" s="51">
        <v>40289425</v>
      </c>
      <c r="H29" s="51">
        <v>40297225</v>
      </c>
      <c r="I29" s="6">
        <f t="shared" si="0"/>
        <v>7800</v>
      </c>
      <c r="J29" s="8">
        <v>78</v>
      </c>
      <c r="K29" s="8">
        <v>77.227999999999994</v>
      </c>
      <c r="L29" s="8" t="s">
        <v>30</v>
      </c>
      <c r="M29" s="8" t="s">
        <v>30</v>
      </c>
      <c r="N29" s="53" t="s">
        <v>30</v>
      </c>
      <c r="O29" s="53" t="s">
        <v>30</v>
      </c>
      <c r="P29" s="53" t="s">
        <v>30</v>
      </c>
      <c r="Q29" s="53" t="s">
        <v>30</v>
      </c>
      <c r="R29" s="53" t="s">
        <v>30</v>
      </c>
      <c r="S29" s="53" t="s">
        <v>30</v>
      </c>
      <c r="T29" s="8">
        <v>78</v>
      </c>
      <c r="U29" s="8">
        <v>77.227999999999994</v>
      </c>
      <c r="V29" s="11">
        <f t="shared" si="1"/>
        <v>0</v>
      </c>
      <c r="W29" s="12" t="s">
        <v>30</v>
      </c>
      <c r="X29" s="12" t="s">
        <v>30</v>
      </c>
      <c r="Y29" s="12" t="s">
        <v>30</v>
      </c>
      <c r="Z29" s="13">
        <f t="shared" si="5"/>
        <v>0</v>
      </c>
      <c r="AA29" s="47"/>
    </row>
    <row r="30" spans="1:27" ht="16.25" customHeight="1" x14ac:dyDescent="0.15">
      <c r="A30" s="49">
        <v>18</v>
      </c>
      <c r="B30" s="50" t="s">
        <v>73</v>
      </c>
      <c r="C30" s="51" t="s">
        <v>30</v>
      </c>
      <c r="D30" s="51" t="s">
        <v>33</v>
      </c>
      <c r="E30" s="52" t="s">
        <v>30</v>
      </c>
      <c r="F30" s="52">
        <v>46053</v>
      </c>
      <c r="G30" s="51">
        <v>40313665</v>
      </c>
      <c r="H30" s="51">
        <v>40325665</v>
      </c>
      <c r="I30" s="6">
        <f t="shared" si="0"/>
        <v>12000</v>
      </c>
      <c r="J30" s="8">
        <v>120</v>
      </c>
      <c r="K30" s="8">
        <v>118.904</v>
      </c>
      <c r="L30" s="8" t="s">
        <v>30</v>
      </c>
      <c r="M30" s="8" t="s">
        <v>30</v>
      </c>
      <c r="N30" s="53" t="s">
        <v>30</v>
      </c>
      <c r="O30" s="53" t="s">
        <v>30</v>
      </c>
      <c r="P30" s="53" t="s">
        <v>30</v>
      </c>
      <c r="Q30" s="53" t="s">
        <v>30</v>
      </c>
      <c r="R30" s="53" t="s">
        <v>30</v>
      </c>
      <c r="S30" s="53" t="s">
        <v>30</v>
      </c>
      <c r="T30" s="8">
        <v>120</v>
      </c>
      <c r="U30" s="8">
        <v>118.904</v>
      </c>
      <c r="V30" s="11">
        <f t="shared" si="1"/>
        <v>0</v>
      </c>
      <c r="W30" s="12" t="s">
        <v>30</v>
      </c>
      <c r="X30" s="12" t="s">
        <v>30</v>
      </c>
      <c r="Y30" s="12" t="s">
        <v>30</v>
      </c>
      <c r="Z30" s="13">
        <f t="shared" si="5"/>
        <v>0</v>
      </c>
      <c r="AA30" s="47"/>
    </row>
    <row r="31" spans="1:27" ht="16.25" customHeight="1" x14ac:dyDescent="0.15">
      <c r="A31" s="49">
        <v>19</v>
      </c>
      <c r="B31" s="55" t="s">
        <v>62</v>
      </c>
      <c r="C31" s="50" t="s">
        <v>63</v>
      </c>
      <c r="D31" s="51" t="s">
        <v>43</v>
      </c>
      <c r="E31" s="52">
        <v>46023</v>
      </c>
      <c r="F31" s="52">
        <v>46024</v>
      </c>
      <c r="G31" s="51">
        <v>11113416</v>
      </c>
      <c r="H31" s="51">
        <v>11143916</v>
      </c>
      <c r="I31" s="6">
        <f t="shared" si="0"/>
        <v>30500</v>
      </c>
      <c r="J31" s="8">
        <v>305</v>
      </c>
      <c r="K31" s="8">
        <v>301.82600000000002</v>
      </c>
      <c r="L31" s="8" t="s">
        <v>30</v>
      </c>
      <c r="M31" s="8" t="s">
        <v>30</v>
      </c>
      <c r="N31" s="8">
        <v>304.98500000000001</v>
      </c>
      <c r="O31" s="8">
        <v>301.81099999999998</v>
      </c>
      <c r="P31" s="8">
        <v>305.00400000000002</v>
      </c>
      <c r="Q31" s="8">
        <v>301.83</v>
      </c>
      <c r="R31" s="53" t="s">
        <v>30</v>
      </c>
      <c r="S31" s="53" t="s">
        <v>30</v>
      </c>
      <c r="T31" s="8">
        <v>305</v>
      </c>
      <c r="U31" s="8">
        <v>301.02600000000001</v>
      </c>
      <c r="V31" s="11">
        <f t="shared" si="1"/>
        <v>0</v>
      </c>
      <c r="W31" s="12">
        <f t="shared" ref="W31:W52" si="6">IFERROR((N31-L31-J31)/J31*100,0)</f>
        <v>0</v>
      </c>
      <c r="X31" s="12">
        <f t="shared" ref="X31:X52" si="7">IFERROR((P31-N31)/J31*100,0)</f>
        <v>6.2295081967231004E-3</v>
      </c>
      <c r="Y31" s="12">
        <f t="shared" ref="Y31:Y52" si="8">IFERROR(((T31-(P31-R31))/(P31-R31))*100,0)</f>
        <v>0</v>
      </c>
      <c r="Z31" s="13">
        <f t="shared" si="5"/>
        <v>0</v>
      </c>
      <c r="AA31" s="47"/>
    </row>
    <row r="32" spans="1:27" ht="16.25" customHeight="1" x14ac:dyDescent="0.15">
      <c r="A32" s="49">
        <v>20</v>
      </c>
      <c r="B32" s="55" t="s">
        <v>64</v>
      </c>
      <c r="C32" s="50" t="s">
        <v>63</v>
      </c>
      <c r="D32" s="51" t="s">
        <v>43</v>
      </c>
      <c r="E32" s="52">
        <v>46025</v>
      </c>
      <c r="F32" s="52">
        <v>46025</v>
      </c>
      <c r="G32" s="51">
        <v>11144902</v>
      </c>
      <c r="H32" s="51">
        <v>11197902</v>
      </c>
      <c r="I32" s="6">
        <f t="shared" si="0"/>
        <v>53000</v>
      </c>
      <c r="J32" s="8">
        <v>530</v>
      </c>
      <c r="K32" s="8">
        <v>524.48400000000004</v>
      </c>
      <c r="L32" s="8" t="s">
        <v>30</v>
      </c>
      <c r="M32" s="8" t="s">
        <v>30</v>
      </c>
      <c r="N32" s="8">
        <v>529.97799999999995</v>
      </c>
      <c r="O32" s="8">
        <v>524.46199999999999</v>
      </c>
      <c r="P32" s="8">
        <v>530.00599999999997</v>
      </c>
      <c r="Q32" s="8">
        <v>524.49</v>
      </c>
      <c r="R32" s="53" t="s">
        <v>30</v>
      </c>
      <c r="S32" s="53" t="s">
        <v>30</v>
      </c>
      <c r="T32" s="8">
        <v>530.00699999999995</v>
      </c>
      <c r="U32" s="8">
        <v>524.49099999999999</v>
      </c>
      <c r="V32" s="11">
        <f t="shared" si="1"/>
        <v>6.9999999999481588E-3</v>
      </c>
      <c r="W32" s="12">
        <f t="shared" si="6"/>
        <v>0</v>
      </c>
      <c r="X32" s="12">
        <f t="shared" si="7"/>
        <v>5.2830188679283034E-3</v>
      </c>
      <c r="Y32" s="12">
        <f t="shared" si="8"/>
        <v>0</v>
      </c>
      <c r="Z32" s="13">
        <f t="shared" si="5"/>
        <v>1.3207547169713507E-3</v>
      </c>
      <c r="AA32" s="47"/>
    </row>
    <row r="33" spans="1:27" ht="16.25" customHeight="1" x14ac:dyDescent="0.15">
      <c r="A33" s="49">
        <v>21</v>
      </c>
      <c r="B33" s="55" t="s">
        <v>65</v>
      </c>
      <c r="C33" s="50" t="s">
        <v>66</v>
      </c>
      <c r="D33" s="51" t="s">
        <v>43</v>
      </c>
      <c r="E33" s="52">
        <v>46025</v>
      </c>
      <c r="F33" s="52">
        <v>46026</v>
      </c>
      <c r="G33" s="51">
        <v>670784</v>
      </c>
      <c r="H33" s="51">
        <v>692784</v>
      </c>
      <c r="I33" s="6">
        <f t="shared" si="0"/>
        <v>22000</v>
      </c>
      <c r="J33" s="8">
        <v>220</v>
      </c>
      <c r="K33" s="8">
        <v>217.71</v>
      </c>
      <c r="L33" s="8" t="s">
        <v>30</v>
      </c>
      <c r="M33" s="8" t="s">
        <v>30</v>
      </c>
      <c r="N33" s="8">
        <v>219.99100000000001</v>
      </c>
      <c r="O33" s="8">
        <v>217.70099999999999</v>
      </c>
      <c r="P33" s="8">
        <v>220.03700000000001</v>
      </c>
      <c r="Q33" s="8">
        <v>217.74700000000001</v>
      </c>
      <c r="R33" s="53" t="s">
        <v>30</v>
      </c>
      <c r="S33" s="53" t="s">
        <v>30</v>
      </c>
      <c r="T33" s="8">
        <v>220.012</v>
      </c>
      <c r="U33" s="8">
        <v>217.72200000000001</v>
      </c>
      <c r="V33" s="11">
        <f t="shared" si="1"/>
        <v>1.2000000000000455E-2</v>
      </c>
      <c r="W33" s="12">
        <f t="shared" si="6"/>
        <v>0</v>
      </c>
      <c r="X33" s="12">
        <f t="shared" si="7"/>
        <v>2.0909090909087394E-2</v>
      </c>
      <c r="Y33" s="12">
        <f t="shared" si="8"/>
        <v>0</v>
      </c>
      <c r="Z33" s="13">
        <f t="shared" si="5"/>
        <v>5.4545454545456614E-3</v>
      </c>
      <c r="AA33" s="47"/>
    </row>
    <row r="34" spans="1:27" ht="16.25" customHeight="1" x14ac:dyDescent="0.15">
      <c r="A34" s="49">
        <v>22</v>
      </c>
      <c r="B34" s="55" t="s">
        <v>75</v>
      </c>
      <c r="C34" s="50" t="s">
        <v>63</v>
      </c>
      <c r="D34" s="51" t="s">
        <v>43</v>
      </c>
      <c r="E34" s="52">
        <v>46029</v>
      </c>
      <c r="F34" s="52">
        <v>46029</v>
      </c>
      <c r="G34" s="51">
        <v>11199460</v>
      </c>
      <c r="H34" s="51">
        <v>11253460</v>
      </c>
      <c r="I34" s="6">
        <f t="shared" si="0"/>
        <v>54000</v>
      </c>
      <c r="J34" s="8">
        <v>540</v>
      </c>
      <c r="K34" s="8">
        <v>534.37599999999998</v>
      </c>
      <c r="L34" s="8" t="s">
        <v>30</v>
      </c>
      <c r="M34" s="8" t="s">
        <v>30</v>
      </c>
      <c r="N34" s="8">
        <v>539.99199999999996</v>
      </c>
      <c r="O34" s="8">
        <v>534.36900000000003</v>
      </c>
      <c r="P34" s="8">
        <v>540.00599999999997</v>
      </c>
      <c r="Q34" s="8">
        <v>534.38199999999995</v>
      </c>
      <c r="R34" s="53" t="s">
        <v>30</v>
      </c>
      <c r="S34" s="53" t="s">
        <v>30</v>
      </c>
      <c r="T34" s="8">
        <v>540.07399999999996</v>
      </c>
      <c r="U34" s="8">
        <v>534.45000000000005</v>
      </c>
      <c r="V34" s="11">
        <f t="shared" si="1"/>
        <v>7.3999999999955435E-2</v>
      </c>
      <c r="W34" s="12">
        <f t="shared" si="6"/>
        <v>0</v>
      </c>
      <c r="X34" s="12">
        <f t="shared" si="7"/>
        <v>2.5925925925944452E-3</v>
      </c>
      <c r="Y34" s="12">
        <f t="shared" si="8"/>
        <v>0</v>
      </c>
      <c r="Z34" s="13">
        <f t="shared" si="5"/>
        <v>1.3703703703695452E-2</v>
      </c>
      <c r="AA34" s="47"/>
    </row>
    <row r="35" spans="1:27" ht="16.25" customHeight="1" x14ac:dyDescent="0.15">
      <c r="A35" s="49">
        <v>23</v>
      </c>
      <c r="B35" s="55" t="s">
        <v>79</v>
      </c>
      <c r="C35" s="50" t="s">
        <v>63</v>
      </c>
      <c r="D35" s="51" t="s">
        <v>43</v>
      </c>
      <c r="E35" s="52">
        <v>46029</v>
      </c>
      <c r="F35" s="52">
        <v>46029</v>
      </c>
      <c r="G35" s="51">
        <v>13339669</v>
      </c>
      <c r="H35" s="51">
        <v>13350669</v>
      </c>
      <c r="I35" s="6">
        <f t="shared" si="0"/>
        <v>11000</v>
      </c>
      <c r="J35" s="8">
        <v>110</v>
      </c>
      <c r="K35" s="8">
        <v>108.854</v>
      </c>
      <c r="L35" s="8" t="s">
        <v>30</v>
      </c>
      <c r="M35" s="8" t="s">
        <v>30</v>
      </c>
      <c r="N35" s="8">
        <v>109.976</v>
      </c>
      <c r="O35" s="8">
        <v>108.831</v>
      </c>
      <c r="P35" s="8">
        <v>110.004</v>
      </c>
      <c r="Q35" s="8">
        <v>108.858</v>
      </c>
      <c r="R35" s="53" t="s">
        <v>30</v>
      </c>
      <c r="S35" s="53" t="s">
        <v>30</v>
      </c>
      <c r="T35" s="8">
        <v>110.04</v>
      </c>
      <c r="U35" s="8">
        <v>108.89400000000001</v>
      </c>
      <c r="V35" s="11">
        <f t="shared" si="1"/>
        <v>4.0000000000006253E-2</v>
      </c>
      <c r="W35" s="12">
        <f t="shared" si="6"/>
        <v>0</v>
      </c>
      <c r="X35" s="12">
        <f t="shared" si="7"/>
        <v>2.5454545454550725E-2</v>
      </c>
      <c r="Y35" s="12">
        <f t="shared" si="8"/>
        <v>0</v>
      </c>
      <c r="Z35" s="13">
        <f t="shared" si="5"/>
        <v>3.6363636363642045E-2</v>
      </c>
      <c r="AA35" s="47"/>
    </row>
    <row r="36" spans="1:27" ht="16.25" customHeight="1" x14ac:dyDescent="0.15">
      <c r="A36" s="49">
        <v>24</v>
      </c>
      <c r="B36" s="55" t="s">
        <v>76</v>
      </c>
      <c r="C36" s="50" t="s">
        <v>63</v>
      </c>
      <c r="D36" s="51" t="s">
        <v>43</v>
      </c>
      <c r="E36" s="52">
        <v>46031</v>
      </c>
      <c r="F36" s="52">
        <v>46032</v>
      </c>
      <c r="G36" s="51">
        <v>11255162</v>
      </c>
      <c r="H36" s="51">
        <v>11272962</v>
      </c>
      <c r="I36" s="6">
        <f t="shared" si="0"/>
        <v>17800</v>
      </c>
      <c r="J36" s="8">
        <v>178</v>
      </c>
      <c r="K36" s="8">
        <v>175.85400000000001</v>
      </c>
      <c r="L36" s="8" t="s">
        <v>30</v>
      </c>
      <c r="M36" s="8" t="s">
        <v>30</v>
      </c>
      <c r="N36" s="8">
        <v>177.995</v>
      </c>
      <c r="O36" s="8">
        <v>175.84899999999999</v>
      </c>
      <c r="P36" s="8">
        <v>178.02099999999999</v>
      </c>
      <c r="Q36" s="8">
        <v>175.875</v>
      </c>
      <c r="R36" s="53" t="s">
        <v>30</v>
      </c>
      <c r="S36" s="53" t="s">
        <v>30</v>
      </c>
      <c r="T36" s="8">
        <v>178.02</v>
      </c>
      <c r="U36" s="8">
        <v>175.875</v>
      </c>
      <c r="V36" s="11">
        <f t="shared" si="1"/>
        <v>2.0000000000010232E-2</v>
      </c>
      <c r="W36" s="12">
        <f t="shared" si="6"/>
        <v>0</v>
      </c>
      <c r="X36" s="12">
        <f t="shared" si="7"/>
        <v>1.4606741573023618E-2</v>
      </c>
      <c r="Y36" s="12">
        <f t="shared" si="8"/>
        <v>0</v>
      </c>
      <c r="Z36" s="13">
        <f t="shared" si="5"/>
        <v>1.1235955056185524E-2</v>
      </c>
      <c r="AA36" s="47"/>
    </row>
    <row r="37" spans="1:27" ht="16.25" customHeight="1" x14ac:dyDescent="0.15">
      <c r="A37" s="49">
        <v>25</v>
      </c>
      <c r="B37" s="55" t="s">
        <v>65</v>
      </c>
      <c r="C37" s="50" t="s">
        <v>66</v>
      </c>
      <c r="D37" s="51" t="s">
        <v>43</v>
      </c>
      <c r="E37" s="52">
        <v>46032</v>
      </c>
      <c r="F37" s="52">
        <v>46032</v>
      </c>
      <c r="G37" s="51">
        <v>702821</v>
      </c>
      <c r="H37" s="51">
        <v>759821</v>
      </c>
      <c r="I37" s="6">
        <f t="shared" si="0"/>
        <v>57000</v>
      </c>
      <c r="J37" s="8">
        <v>570</v>
      </c>
      <c r="K37" s="8">
        <v>563.12900000000002</v>
      </c>
      <c r="L37" s="8" t="s">
        <v>30</v>
      </c>
      <c r="M37" s="8" t="s">
        <v>30</v>
      </c>
      <c r="N37" s="8">
        <v>569.95899999999995</v>
      </c>
      <c r="O37" s="8">
        <v>563.08900000000006</v>
      </c>
      <c r="P37" s="8">
        <v>570.00599999999997</v>
      </c>
      <c r="Q37" s="8">
        <v>563.13499999999999</v>
      </c>
      <c r="R37" s="53" t="s">
        <v>30</v>
      </c>
      <c r="S37" s="53" t="s">
        <v>30</v>
      </c>
      <c r="T37" s="8">
        <v>570.029</v>
      </c>
      <c r="U37" s="8">
        <v>563.15800000000002</v>
      </c>
      <c r="V37" s="11">
        <f t="shared" si="1"/>
        <v>2.8999999999996362E-2</v>
      </c>
      <c r="W37" s="12">
        <f t="shared" si="6"/>
        <v>0</v>
      </c>
      <c r="X37" s="12">
        <f t="shared" si="7"/>
        <v>8.2456140350921862E-3</v>
      </c>
      <c r="Y37" s="12">
        <f t="shared" si="8"/>
        <v>0</v>
      </c>
      <c r="Z37" s="13">
        <f t="shared" si="5"/>
        <v>5.0877192982449757E-3</v>
      </c>
      <c r="AA37" s="47"/>
    </row>
    <row r="38" spans="1:27" ht="16.25" customHeight="1" x14ac:dyDescent="0.15">
      <c r="A38" s="49">
        <v>26</v>
      </c>
      <c r="B38" s="55" t="s">
        <v>77</v>
      </c>
      <c r="C38" s="50" t="s">
        <v>63</v>
      </c>
      <c r="D38" s="51" t="s">
        <v>43</v>
      </c>
      <c r="E38" s="52">
        <v>46032</v>
      </c>
      <c r="F38" s="52">
        <v>46033</v>
      </c>
      <c r="G38" s="51">
        <v>11279784</v>
      </c>
      <c r="H38" s="51">
        <v>11297584</v>
      </c>
      <c r="I38" s="6">
        <f t="shared" si="0"/>
        <v>17800</v>
      </c>
      <c r="J38" s="8">
        <v>178</v>
      </c>
      <c r="K38" s="8">
        <v>175.85400000000001</v>
      </c>
      <c r="L38" s="8" t="s">
        <v>30</v>
      </c>
      <c r="M38" s="8" t="s">
        <v>30</v>
      </c>
      <c r="N38" s="8">
        <v>177.98099999999999</v>
      </c>
      <c r="O38" s="8">
        <v>175.83600000000001</v>
      </c>
      <c r="P38" s="8">
        <v>178.00700000000001</v>
      </c>
      <c r="Q38" s="8">
        <v>175.86099999999999</v>
      </c>
      <c r="R38" s="53" t="s">
        <v>30</v>
      </c>
      <c r="S38" s="53" t="s">
        <v>30</v>
      </c>
      <c r="T38" s="8">
        <v>178.04599999999999</v>
      </c>
      <c r="U38" s="8">
        <v>175.9</v>
      </c>
      <c r="V38" s="11">
        <f t="shared" si="1"/>
        <v>4.5999999999992269E-2</v>
      </c>
      <c r="W38" s="12">
        <f t="shared" si="6"/>
        <v>0</v>
      </c>
      <c r="X38" s="12">
        <f t="shared" si="7"/>
        <v>1.4606741573039586E-2</v>
      </c>
      <c r="Y38" s="12">
        <f t="shared" si="8"/>
        <v>0</v>
      </c>
      <c r="Z38" s="13">
        <f t="shared" si="5"/>
        <v>2.5842696629209138E-2</v>
      </c>
      <c r="AA38" s="47"/>
    </row>
    <row r="39" spans="1:27" ht="16.25" customHeight="1" x14ac:dyDescent="0.15">
      <c r="A39" s="49">
        <v>27</v>
      </c>
      <c r="B39" s="55" t="s">
        <v>78</v>
      </c>
      <c r="C39" s="50" t="s">
        <v>63</v>
      </c>
      <c r="D39" s="51" t="s">
        <v>43</v>
      </c>
      <c r="E39" s="52">
        <v>46032</v>
      </c>
      <c r="F39" s="52">
        <v>46033</v>
      </c>
      <c r="G39" s="51">
        <v>11298594</v>
      </c>
      <c r="H39" s="51">
        <v>11319594</v>
      </c>
      <c r="I39" s="6">
        <f t="shared" si="0"/>
        <v>21000</v>
      </c>
      <c r="J39" s="8">
        <v>210</v>
      </c>
      <c r="K39" s="8">
        <v>207.46899999999999</v>
      </c>
      <c r="L39" s="8" t="s">
        <v>30</v>
      </c>
      <c r="M39" s="8" t="s">
        <v>30</v>
      </c>
      <c r="N39" s="8">
        <v>209.99</v>
      </c>
      <c r="O39" s="8">
        <v>207.459</v>
      </c>
      <c r="P39" s="8">
        <v>210.017</v>
      </c>
      <c r="Q39" s="8">
        <v>207.48500000000001</v>
      </c>
      <c r="R39" s="53" t="s">
        <v>30</v>
      </c>
      <c r="S39" s="53" t="s">
        <v>30</v>
      </c>
      <c r="T39" s="8">
        <v>210.01</v>
      </c>
      <c r="U39" s="8">
        <v>207.47900000000001</v>
      </c>
      <c r="V39" s="11">
        <f t="shared" si="1"/>
        <v>9.9999999999909051E-3</v>
      </c>
      <c r="W39" s="12">
        <f t="shared" si="6"/>
        <v>0</v>
      </c>
      <c r="X39" s="12">
        <f t="shared" si="7"/>
        <v>1.2857142857136577E-2</v>
      </c>
      <c r="Y39" s="12">
        <f t="shared" si="8"/>
        <v>0</v>
      </c>
      <c r="Z39" s="13">
        <f t="shared" si="5"/>
        <v>4.7619047619004307E-3</v>
      </c>
      <c r="AA39" s="47"/>
    </row>
    <row r="40" spans="1:27" ht="16.25" customHeight="1" x14ac:dyDescent="0.15">
      <c r="A40" s="49">
        <v>28</v>
      </c>
      <c r="B40" s="55" t="s">
        <v>86</v>
      </c>
      <c r="C40" s="50" t="s">
        <v>63</v>
      </c>
      <c r="D40" s="51" t="s">
        <v>43</v>
      </c>
      <c r="E40" s="52">
        <v>46037</v>
      </c>
      <c r="F40" s="52">
        <v>46038</v>
      </c>
      <c r="G40" s="51">
        <v>11326711</v>
      </c>
      <c r="H40" s="51">
        <v>11379711</v>
      </c>
      <c r="I40" s="6">
        <f t="shared" si="0"/>
        <v>53000</v>
      </c>
      <c r="J40" s="8">
        <v>530</v>
      </c>
      <c r="K40" s="8">
        <v>523.63599999999997</v>
      </c>
      <c r="L40" s="8" t="s">
        <v>30</v>
      </c>
      <c r="M40" s="8" t="s">
        <v>30</v>
      </c>
      <c r="N40" s="8">
        <v>529.95899999999995</v>
      </c>
      <c r="O40" s="8">
        <v>523.59500000000003</v>
      </c>
      <c r="P40" s="8">
        <v>530.01099999999997</v>
      </c>
      <c r="Q40" s="8">
        <v>523.64700000000005</v>
      </c>
      <c r="R40" s="53" t="s">
        <v>30</v>
      </c>
      <c r="S40" s="53" t="s">
        <v>30</v>
      </c>
      <c r="T40" s="8">
        <v>530.03</v>
      </c>
      <c r="U40" s="8">
        <v>523.66499999999996</v>
      </c>
      <c r="V40" s="11">
        <f t="shared" si="1"/>
        <v>2.9999999999972715E-2</v>
      </c>
      <c r="W40" s="12">
        <f t="shared" si="6"/>
        <v>0</v>
      </c>
      <c r="X40" s="12">
        <f t="shared" si="7"/>
        <v>9.8113207547209282E-3</v>
      </c>
      <c r="Y40" s="12">
        <f t="shared" si="8"/>
        <v>0</v>
      </c>
      <c r="Z40" s="13">
        <f t="shared" si="5"/>
        <v>5.6603773584854179E-3</v>
      </c>
      <c r="AA40" s="47"/>
    </row>
    <row r="41" spans="1:27" ht="16.25" customHeight="1" x14ac:dyDescent="0.15">
      <c r="A41" s="49">
        <v>29</v>
      </c>
      <c r="B41" s="55" t="s">
        <v>62</v>
      </c>
      <c r="C41" s="50" t="s">
        <v>66</v>
      </c>
      <c r="D41" s="51" t="s">
        <v>43</v>
      </c>
      <c r="E41" s="52">
        <v>46038</v>
      </c>
      <c r="F41" s="52">
        <v>46038</v>
      </c>
      <c r="G41" s="51">
        <v>769103</v>
      </c>
      <c r="H41" s="51">
        <v>799603</v>
      </c>
      <c r="I41" s="6">
        <f t="shared" si="0"/>
        <v>30500</v>
      </c>
      <c r="J41" s="8">
        <v>305</v>
      </c>
      <c r="K41" s="8">
        <v>301.33300000000003</v>
      </c>
      <c r="L41" s="8" t="s">
        <v>30</v>
      </c>
      <c r="M41" s="8" t="s">
        <v>30</v>
      </c>
      <c r="N41" s="8">
        <v>304.96699999999998</v>
      </c>
      <c r="O41" s="8">
        <v>301.33300000000003</v>
      </c>
      <c r="P41" s="8">
        <v>305.01400000000001</v>
      </c>
      <c r="Q41" s="8">
        <v>301.34699999999998</v>
      </c>
      <c r="R41" s="53" t="s">
        <v>30</v>
      </c>
      <c r="S41" s="53" t="s">
        <v>30</v>
      </c>
      <c r="T41" s="8">
        <v>305</v>
      </c>
      <c r="U41" s="8">
        <v>301.33300000000003</v>
      </c>
      <c r="V41" s="11">
        <f t="shared" si="1"/>
        <v>0</v>
      </c>
      <c r="W41" s="12">
        <f t="shared" si="6"/>
        <v>0</v>
      </c>
      <c r="X41" s="12">
        <f t="shared" si="7"/>
        <v>1.5409836065582121E-2</v>
      </c>
      <c r="Y41" s="12">
        <f t="shared" si="8"/>
        <v>0</v>
      </c>
      <c r="Z41" s="13">
        <f t="shared" si="5"/>
        <v>0</v>
      </c>
      <c r="AA41" s="47"/>
    </row>
    <row r="42" spans="1:27" ht="16.25" customHeight="1" x14ac:dyDescent="0.15">
      <c r="A42" s="49">
        <v>30</v>
      </c>
      <c r="B42" s="55" t="s">
        <v>78</v>
      </c>
      <c r="C42" s="50" t="s">
        <v>63</v>
      </c>
      <c r="D42" s="51" t="s">
        <v>43</v>
      </c>
      <c r="E42" s="52">
        <v>46039</v>
      </c>
      <c r="F42" s="52">
        <v>46039</v>
      </c>
      <c r="G42" s="51">
        <v>11381743</v>
      </c>
      <c r="H42" s="51">
        <v>11399243</v>
      </c>
      <c r="I42" s="6">
        <f t="shared" si="0"/>
        <v>17500</v>
      </c>
      <c r="J42" s="8">
        <v>175</v>
      </c>
      <c r="K42" s="8">
        <v>172.89599999999999</v>
      </c>
      <c r="L42" s="8" t="s">
        <v>30</v>
      </c>
      <c r="M42" s="8" t="s">
        <v>30</v>
      </c>
      <c r="N42" s="8">
        <v>174.977</v>
      </c>
      <c r="O42" s="8">
        <v>172.87299999999999</v>
      </c>
      <c r="P42" s="8">
        <v>175.001</v>
      </c>
      <c r="Q42" s="8">
        <v>172.89699999999999</v>
      </c>
      <c r="R42" s="53" t="s">
        <v>30</v>
      </c>
      <c r="S42" s="53" t="s">
        <v>30</v>
      </c>
      <c r="T42" s="8">
        <v>175</v>
      </c>
      <c r="U42" s="8">
        <v>172.90600000000001</v>
      </c>
      <c r="V42" s="11">
        <f t="shared" si="1"/>
        <v>0</v>
      </c>
      <c r="W42" s="12">
        <f t="shared" si="6"/>
        <v>0</v>
      </c>
      <c r="X42" s="12">
        <f t="shared" si="7"/>
        <v>1.3714285714286234E-2</v>
      </c>
      <c r="Y42" s="12">
        <f t="shared" si="8"/>
        <v>0</v>
      </c>
      <c r="Z42" s="13">
        <f t="shared" si="5"/>
        <v>0</v>
      </c>
      <c r="AA42" s="47"/>
    </row>
    <row r="43" spans="1:27" ht="16.25" customHeight="1" x14ac:dyDescent="0.15">
      <c r="A43" s="49">
        <v>31</v>
      </c>
      <c r="B43" s="55" t="s">
        <v>64</v>
      </c>
      <c r="C43" s="50" t="s">
        <v>66</v>
      </c>
      <c r="D43" s="51" t="s">
        <v>43</v>
      </c>
      <c r="E43" s="52">
        <v>46039</v>
      </c>
      <c r="F43" s="52">
        <v>46040</v>
      </c>
      <c r="G43" s="51">
        <v>810626</v>
      </c>
      <c r="H43" s="51">
        <v>874626</v>
      </c>
      <c r="I43" s="61">
        <f t="shared" si="0"/>
        <v>64000</v>
      </c>
      <c r="J43" s="8">
        <v>640</v>
      </c>
      <c r="K43" s="8">
        <v>632.30600000000004</v>
      </c>
      <c r="L43" s="8" t="s">
        <v>30</v>
      </c>
      <c r="M43" s="8" t="s">
        <v>30</v>
      </c>
      <c r="N43" s="8">
        <v>639.99400000000003</v>
      </c>
      <c r="O43" s="8">
        <v>632.29999999999995</v>
      </c>
      <c r="P43" s="8">
        <v>640.04100000000005</v>
      </c>
      <c r="Q43" s="8">
        <v>632.346</v>
      </c>
      <c r="R43" s="53" t="s">
        <v>30</v>
      </c>
      <c r="S43" s="53" t="s">
        <v>30</v>
      </c>
      <c r="T43" s="8">
        <v>640.005</v>
      </c>
      <c r="U43" s="8">
        <v>632.31100000000004</v>
      </c>
      <c r="V43" s="11">
        <f t="shared" si="1"/>
        <v>4.9999999999954525E-3</v>
      </c>
      <c r="W43" s="12">
        <f t="shared" si="6"/>
        <v>0</v>
      </c>
      <c r="X43" s="12">
        <f t="shared" si="7"/>
        <v>7.343750000003979E-3</v>
      </c>
      <c r="Y43" s="12">
        <f t="shared" si="8"/>
        <v>0</v>
      </c>
      <c r="Z43" s="13">
        <f t="shared" si="5"/>
        <v>7.8124999999928957E-4</v>
      </c>
      <c r="AA43" s="47"/>
    </row>
    <row r="44" spans="1:27" ht="16.25" customHeight="1" x14ac:dyDescent="0.15">
      <c r="A44" s="49">
        <v>32</v>
      </c>
      <c r="B44" s="55" t="s">
        <v>87</v>
      </c>
      <c r="C44" s="50" t="s">
        <v>63</v>
      </c>
      <c r="D44" s="51" t="s">
        <v>43</v>
      </c>
      <c r="E44" s="52">
        <v>46040</v>
      </c>
      <c r="F44" s="52">
        <v>46040</v>
      </c>
      <c r="G44" s="51">
        <v>11411171</v>
      </c>
      <c r="H44" s="51">
        <v>11469671</v>
      </c>
      <c r="I44" s="6">
        <f t="shared" si="0"/>
        <v>58500</v>
      </c>
      <c r="J44" s="8">
        <v>585</v>
      </c>
      <c r="K44" s="8">
        <v>578.90300000000002</v>
      </c>
      <c r="L44" s="8" t="s">
        <v>30</v>
      </c>
      <c r="M44" s="8" t="s">
        <v>30</v>
      </c>
      <c r="N44" s="8">
        <v>584.97799999999995</v>
      </c>
      <c r="O44" s="8">
        <v>578.88099999999997</v>
      </c>
      <c r="P44" s="8">
        <v>585.03099999999995</v>
      </c>
      <c r="Q44" s="8">
        <v>578.93399999999997</v>
      </c>
      <c r="R44" s="53" t="s">
        <v>30</v>
      </c>
      <c r="S44" s="53" t="s">
        <v>30</v>
      </c>
      <c r="T44" s="8">
        <v>585.077</v>
      </c>
      <c r="U44" s="8">
        <v>578.97900000000004</v>
      </c>
      <c r="V44" s="11">
        <f t="shared" si="1"/>
        <v>7.6999999999998181E-2</v>
      </c>
      <c r="W44" s="12">
        <f t="shared" si="6"/>
        <v>0</v>
      </c>
      <c r="X44" s="12">
        <f t="shared" si="7"/>
        <v>9.0598290598285936E-3</v>
      </c>
      <c r="Y44" s="12">
        <f t="shared" si="8"/>
        <v>0</v>
      </c>
      <c r="Z44" s="13">
        <f t="shared" si="5"/>
        <v>1.3162393162392851E-2</v>
      </c>
      <c r="AA44" s="47"/>
    </row>
    <row r="45" spans="1:27" ht="16.25" customHeight="1" x14ac:dyDescent="0.15">
      <c r="A45" s="49">
        <v>33</v>
      </c>
      <c r="B45" s="55" t="s">
        <v>75</v>
      </c>
      <c r="C45" s="50" t="s">
        <v>63</v>
      </c>
      <c r="D45" s="51" t="s">
        <v>43</v>
      </c>
      <c r="E45" s="52">
        <v>46044</v>
      </c>
      <c r="F45" s="52">
        <v>46044</v>
      </c>
      <c r="G45" s="51">
        <v>11486383</v>
      </c>
      <c r="H45" s="51">
        <v>11540383</v>
      </c>
      <c r="I45" s="6">
        <f t="shared" si="0"/>
        <v>54000</v>
      </c>
      <c r="J45" s="8">
        <v>540</v>
      </c>
      <c r="K45" s="8">
        <v>533.45100000000002</v>
      </c>
      <c r="L45" s="8" t="s">
        <v>30</v>
      </c>
      <c r="M45" s="8" t="s">
        <v>30</v>
      </c>
      <c r="N45" s="8">
        <v>539.99</v>
      </c>
      <c r="O45" s="8">
        <v>533.44100000000003</v>
      </c>
      <c r="P45" s="8">
        <v>540.00400000000002</v>
      </c>
      <c r="Q45" s="8">
        <v>533.45500000000004</v>
      </c>
      <c r="R45" s="53" t="s">
        <v>30</v>
      </c>
      <c r="S45" s="53" t="s">
        <v>30</v>
      </c>
      <c r="T45" s="8">
        <v>540.06500000000005</v>
      </c>
      <c r="U45" s="8">
        <v>533.51499999999999</v>
      </c>
      <c r="V45" s="11">
        <f t="shared" si="1"/>
        <v>6.500000000005457E-2</v>
      </c>
      <c r="W45" s="12">
        <f t="shared" si="6"/>
        <v>0</v>
      </c>
      <c r="X45" s="12">
        <f t="shared" si="7"/>
        <v>2.5925925925944452E-3</v>
      </c>
      <c r="Y45" s="12">
        <f t="shared" si="8"/>
        <v>0</v>
      </c>
      <c r="Z45" s="13">
        <f t="shared" si="5"/>
        <v>1.2037037037047142E-2</v>
      </c>
      <c r="AA45" s="47"/>
    </row>
    <row r="46" spans="1:27" ht="16.25" customHeight="1" x14ac:dyDescent="0.15">
      <c r="A46" s="49">
        <v>34</v>
      </c>
      <c r="B46" s="55" t="s">
        <v>78</v>
      </c>
      <c r="C46" s="50" t="s">
        <v>63</v>
      </c>
      <c r="D46" s="51" t="s">
        <v>43</v>
      </c>
      <c r="E46" s="52">
        <v>46045</v>
      </c>
      <c r="F46" s="52">
        <v>46045</v>
      </c>
      <c r="G46" s="51">
        <v>11545269</v>
      </c>
      <c r="H46" s="51">
        <v>11563269</v>
      </c>
      <c r="I46" s="6">
        <f t="shared" si="0"/>
        <v>18000</v>
      </c>
      <c r="J46" s="8">
        <v>180</v>
      </c>
      <c r="K46" s="8">
        <v>177.81700000000001</v>
      </c>
      <c r="L46" s="8" t="s">
        <v>30</v>
      </c>
      <c r="M46" s="8" t="s">
        <v>30</v>
      </c>
      <c r="N46" s="8">
        <v>179.97900000000001</v>
      </c>
      <c r="O46" s="8">
        <v>177.79599999999999</v>
      </c>
      <c r="P46" s="8">
        <v>180.006</v>
      </c>
      <c r="Q46" s="8">
        <v>177.82300000000001</v>
      </c>
      <c r="R46" s="53" t="s">
        <v>30</v>
      </c>
      <c r="S46" s="53" t="s">
        <v>30</v>
      </c>
      <c r="T46" s="8">
        <v>180</v>
      </c>
      <c r="U46" s="8">
        <v>177.81700000000001</v>
      </c>
      <c r="V46" s="11">
        <f t="shared" si="1"/>
        <v>0</v>
      </c>
      <c r="W46" s="12">
        <f t="shared" si="6"/>
        <v>0</v>
      </c>
      <c r="X46" s="12">
        <f t="shared" si="7"/>
        <v>1.4999999999992672E-2</v>
      </c>
      <c r="Y46" s="12">
        <f t="shared" si="8"/>
        <v>0</v>
      </c>
      <c r="Z46" s="13">
        <f t="shared" si="5"/>
        <v>0</v>
      </c>
      <c r="AA46" s="47"/>
    </row>
    <row r="47" spans="1:27" ht="16.25" customHeight="1" x14ac:dyDescent="0.15">
      <c r="A47" s="49">
        <v>35</v>
      </c>
      <c r="B47" s="55" t="s">
        <v>77</v>
      </c>
      <c r="C47" s="50" t="s">
        <v>63</v>
      </c>
      <c r="D47" s="51" t="s">
        <v>43</v>
      </c>
      <c r="E47" s="52">
        <v>46046</v>
      </c>
      <c r="F47" s="52">
        <v>46047</v>
      </c>
      <c r="G47" s="51">
        <v>11564650</v>
      </c>
      <c r="H47" s="51">
        <v>11582650</v>
      </c>
      <c r="I47" s="6">
        <f t="shared" si="0"/>
        <v>18000</v>
      </c>
      <c r="J47" s="8">
        <v>180</v>
      </c>
      <c r="K47" s="8">
        <v>177.81700000000001</v>
      </c>
      <c r="L47" s="8" t="s">
        <v>30</v>
      </c>
      <c r="M47" s="8" t="s">
        <v>30</v>
      </c>
      <c r="N47" s="8">
        <v>179.999</v>
      </c>
      <c r="O47" s="8">
        <v>177.816</v>
      </c>
      <c r="P47" s="8">
        <v>180.02500000000001</v>
      </c>
      <c r="Q47" s="8">
        <v>177.84200000000001</v>
      </c>
      <c r="R47" s="53" t="s">
        <v>30</v>
      </c>
      <c r="S47" s="53" t="s">
        <v>30</v>
      </c>
      <c r="T47" s="8">
        <v>180.08500000000001</v>
      </c>
      <c r="U47" s="8">
        <v>177.90100000000001</v>
      </c>
      <c r="V47" s="11">
        <f t="shared" si="1"/>
        <v>8.5000000000007958E-2</v>
      </c>
      <c r="W47" s="12">
        <f t="shared" si="6"/>
        <v>0</v>
      </c>
      <c r="X47" s="12">
        <f t="shared" si="7"/>
        <v>1.4444444444450255E-2</v>
      </c>
      <c r="Y47" s="12">
        <f t="shared" si="8"/>
        <v>0</v>
      </c>
      <c r="Z47" s="13">
        <f t="shared" si="5"/>
        <v>4.7222222222226641E-2</v>
      </c>
      <c r="AA47" s="47"/>
    </row>
    <row r="48" spans="1:27" ht="16.25" customHeight="1" x14ac:dyDescent="0.15">
      <c r="A48" s="49">
        <v>36</v>
      </c>
      <c r="B48" s="55" t="s">
        <v>76</v>
      </c>
      <c r="C48" s="50" t="s">
        <v>63</v>
      </c>
      <c r="D48" s="51" t="s">
        <v>43</v>
      </c>
      <c r="E48" s="52">
        <v>46048</v>
      </c>
      <c r="F48" s="52">
        <v>46048</v>
      </c>
      <c r="G48" s="51">
        <v>11583257</v>
      </c>
      <c r="H48" s="51">
        <v>11592257</v>
      </c>
      <c r="I48" s="6">
        <f t="shared" si="0"/>
        <v>9000</v>
      </c>
      <c r="J48" s="8">
        <v>90</v>
      </c>
      <c r="K48" s="8">
        <v>88.908000000000001</v>
      </c>
      <c r="L48" s="8" t="s">
        <v>30</v>
      </c>
      <c r="M48" s="8" t="s">
        <v>30</v>
      </c>
      <c r="N48" s="8">
        <v>89.992999999999995</v>
      </c>
      <c r="O48" s="8">
        <v>88.902000000000001</v>
      </c>
      <c r="P48" s="8">
        <v>90.02</v>
      </c>
      <c r="Q48" s="8">
        <v>88.927999999999997</v>
      </c>
      <c r="R48" s="53" t="s">
        <v>30</v>
      </c>
      <c r="S48" s="53" t="s">
        <v>30</v>
      </c>
      <c r="T48" s="8">
        <v>90.015000000000001</v>
      </c>
      <c r="U48" s="8">
        <v>88.923000000000002</v>
      </c>
      <c r="V48" s="11">
        <f t="shared" si="1"/>
        <v>1.5000000000000568E-2</v>
      </c>
      <c r="W48" s="12">
        <f t="shared" si="6"/>
        <v>0</v>
      </c>
      <c r="X48" s="12">
        <f t="shared" si="7"/>
        <v>3.0000000000001137E-2</v>
      </c>
      <c r="Y48" s="12">
        <f t="shared" si="8"/>
        <v>0</v>
      </c>
      <c r="Z48" s="13">
        <f t="shared" si="5"/>
        <v>1.6666666666667298E-2</v>
      </c>
      <c r="AA48" s="47"/>
    </row>
    <row r="49" spans="1:27" ht="16.25" customHeight="1" x14ac:dyDescent="0.15">
      <c r="A49" s="49">
        <v>37</v>
      </c>
      <c r="B49" s="55" t="s">
        <v>65</v>
      </c>
      <c r="C49" s="50" t="s">
        <v>63</v>
      </c>
      <c r="D49" s="51" t="s">
        <v>43</v>
      </c>
      <c r="E49" s="52">
        <v>46048</v>
      </c>
      <c r="F49" s="52">
        <v>46049</v>
      </c>
      <c r="G49" s="51">
        <v>11594726</v>
      </c>
      <c r="H49" s="51">
        <v>11641526</v>
      </c>
      <c r="I49" s="6">
        <f t="shared" si="0"/>
        <v>46800</v>
      </c>
      <c r="J49" s="8">
        <v>468</v>
      </c>
      <c r="K49" s="8">
        <v>462.46100000000001</v>
      </c>
      <c r="L49" s="8" t="s">
        <v>30</v>
      </c>
      <c r="M49" s="8" t="s">
        <v>30</v>
      </c>
      <c r="N49" s="8">
        <v>467.98200000000003</v>
      </c>
      <c r="O49" s="8">
        <v>462.44299999999998</v>
      </c>
      <c r="P49" s="8">
        <v>468.00900000000001</v>
      </c>
      <c r="Q49" s="8">
        <v>462.47</v>
      </c>
      <c r="R49" s="53" t="s">
        <v>30</v>
      </c>
      <c r="S49" s="53" t="s">
        <v>30</v>
      </c>
      <c r="T49" s="8">
        <v>468.053</v>
      </c>
      <c r="U49" s="8">
        <v>462.51299999999998</v>
      </c>
      <c r="V49" s="11">
        <f t="shared" si="1"/>
        <v>5.2999999999997272E-2</v>
      </c>
      <c r="W49" s="12">
        <f t="shared" si="6"/>
        <v>0</v>
      </c>
      <c r="X49" s="12">
        <f t="shared" si="7"/>
        <v>5.7692307692279515E-3</v>
      </c>
      <c r="Y49" s="12">
        <f t="shared" si="8"/>
        <v>0</v>
      </c>
      <c r="Z49" s="13">
        <f t="shared" si="5"/>
        <v>1.1324786324785742E-2</v>
      </c>
      <c r="AA49" s="47"/>
    </row>
    <row r="50" spans="1:27" ht="16.25" customHeight="1" x14ac:dyDescent="0.15">
      <c r="A50" s="49">
        <v>38</v>
      </c>
      <c r="B50" s="55" t="s">
        <v>78</v>
      </c>
      <c r="C50" s="50" t="s">
        <v>66</v>
      </c>
      <c r="D50" s="51" t="s">
        <v>43</v>
      </c>
      <c r="E50" s="52">
        <v>46051</v>
      </c>
      <c r="F50" s="52">
        <v>46051</v>
      </c>
      <c r="G50" s="51">
        <v>896909</v>
      </c>
      <c r="H50" s="51">
        <v>915909</v>
      </c>
      <c r="I50" s="6">
        <f t="shared" si="0"/>
        <v>19000</v>
      </c>
      <c r="J50" s="8">
        <v>190</v>
      </c>
      <c r="K50" s="8">
        <v>187.751</v>
      </c>
      <c r="L50" s="8" t="s">
        <v>30</v>
      </c>
      <c r="M50" s="8" t="s">
        <v>30</v>
      </c>
      <c r="N50" s="8">
        <v>189.989</v>
      </c>
      <c r="O50" s="8">
        <v>187.74</v>
      </c>
      <c r="P50" s="8">
        <v>190.036</v>
      </c>
      <c r="Q50" s="8">
        <v>187.78700000000001</v>
      </c>
      <c r="R50" s="53" t="s">
        <v>30</v>
      </c>
      <c r="S50" s="53" t="s">
        <v>30</v>
      </c>
      <c r="T50" s="8">
        <v>190.018</v>
      </c>
      <c r="U50" s="8">
        <v>187.76900000000001</v>
      </c>
      <c r="V50" s="11">
        <f t="shared" si="1"/>
        <v>1.8000000000000682E-2</v>
      </c>
      <c r="W50" s="12">
        <f t="shared" si="6"/>
        <v>0</v>
      </c>
      <c r="X50" s="12">
        <f t="shared" si="7"/>
        <v>2.4736842105261603E-2</v>
      </c>
      <c r="Y50" s="12">
        <f t="shared" si="8"/>
        <v>0</v>
      </c>
      <c r="Z50" s="13">
        <f t="shared" si="5"/>
        <v>9.4736842105266755E-3</v>
      </c>
      <c r="AA50" s="47"/>
    </row>
    <row r="51" spans="1:27" ht="16.25" customHeight="1" x14ac:dyDescent="0.15">
      <c r="A51" s="49">
        <v>39</v>
      </c>
      <c r="B51" s="55" t="s">
        <v>86</v>
      </c>
      <c r="C51" s="50" t="s">
        <v>63</v>
      </c>
      <c r="D51" s="51" t="s">
        <v>43</v>
      </c>
      <c r="E51" s="52">
        <v>46051</v>
      </c>
      <c r="F51" s="52">
        <v>46052</v>
      </c>
      <c r="G51" s="51">
        <v>11641755</v>
      </c>
      <c r="H51" s="51">
        <v>11696755</v>
      </c>
      <c r="I51" s="6">
        <f t="shared" si="0"/>
        <v>55000</v>
      </c>
      <c r="J51" s="8">
        <v>550</v>
      </c>
      <c r="K51" s="8">
        <v>543.49</v>
      </c>
      <c r="L51" s="8" t="s">
        <v>30</v>
      </c>
      <c r="M51" s="8" t="s">
        <v>30</v>
      </c>
      <c r="N51" s="8">
        <v>549.98800000000006</v>
      </c>
      <c r="O51" s="8">
        <v>543.47799999999995</v>
      </c>
      <c r="P51" s="8">
        <v>550.01499999999999</v>
      </c>
      <c r="Q51" s="8">
        <v>543.505</v>
      </c>
      <c r="R51" s="53" t="s">
        <v>30</v>
      </c>
      <c r="S51" s="53" t="s">
        <v>30</v>
      </c>
      <c r="T51" s="8">
        <v>550.09</v>
      </c>
      <c r="U51" s="8">
        <v>543.57899999999995</v>
      </c>
      <c r="V51" s="11">
        <f t="shared" si="1"/>
        <v>9.0000000000031832E-2</v>
      </c>
      <c r="W51" s="12">
        <f t="shared" si="6"/>
        <v>0</v>
      </c>
      <c r="X51" s="12">
        <f t="shared" si="7"/>
        <v>4.9090909090781761E-3</v>
      </c>
      <c r="Y51" s="12">
        <f t="shared" si="8"/>
        <v>0</v>
      </c>
      <c r="Z51" s="13">
        <f t="shared" si="5"/>
        <v>1.6363636363642148E-2</v>
      </c>
      <c r="AA51" s="47"/>
    </row>
    <row r="52" spans="1:27" ht="16.25" customHeight="1" x14ac:dyDescent="0.15">
      <c r="A52" s="49">
        <v>40</v>
      </c>
      <c r="B52" s="55" t="s">
        <v>62</v>
      </c>
      <c r="C52" s="50" t="s">
        <v>66</v>
      </c>
      <c r="D52" s="51" t="s">
        <v>43</v>
      </c>
      <c r="E52" s="52">
        <v>46051</v>
      </c>
      <c r="F52" s="52">
        <v>46053</v>
      </c>
      <c r="G52" s="51">
        <v>769103</v>
      </c>
      <c r="H52" s="51">
        <v>800103</v>
      </c>
      <c r="I52" s="6">
        <f t="shared" si="0"/>
        <v>31000</v>
      </c>
      <c r="J52" s="8">
        <v>310</v>
      </c>
      <c r="K52" s="8">
        <v>306.33100000000002</v>
      </c>
      <c r="L52" s="8" t="s">
        <v>30</v>
      </c>
      <c r="M52" s="8" t="s">
        <v>30</v>
      </c>
      <c r="N52" s="8">
        <v>309.98399999999998</v>
      </c>
      <c r="O52" s="8">
        <v>306.315</v>
      </c>
      <c r="P52" s="8">
        <v>310.03100000000001</v>
      </c>
      <c r="Q52" s="8">
        <v>306.36099999999999</v>
      </c>
      <c r="R52" s="53" t="s">
        <v>30</v>
      </c>
      <c r="S52" s="53" t="s">
        <v>30</v>
      </c>
      <c r="T52" s="8">
        <v>310</v>
      </c>
      <c r="U52" s="8">
        <v>306.33100000000002</v>
      </c>
      <c r="V52" s="11">
        <f t="shared" si="1"/>
        <v>0</v>
      </c>
      <c r="W52" s="12">
        <f t="shared" si="6"/>
        <v>0</v>
      </c>
      <c r="X52" s="12">
        <f t="shared" si="7"/>
        <v>1.5161290322588861E-2</v>
      </c>
      <c r="Y52" s="12">
        <f t="shared" si="8"/>
        <v>0</v>
      </c>
      <c r="Z52" s="13">
        <f t="shared" si="5"/>
        <v>0</v>
      </c>
      <c r="AA52" s="47"/>
    </row>
    <row r="53" spans="1:27" ht="16.25" customHeight="1" x14ac:dyDescent="0.15">
      <c r="A53" s="49">
        <v>41</v>
      </c>
      <c r="B53" s="50" t="s">
        <v>42</v>
      </c>
      <c r="C53" s="51" t="s">
        <v>30</v>
      </c>
      <c r="D53" s="51" t="s">
        <v>41</v>
      </c>
      <c r="E53" s="52" t="s">
        <v>30</v>
      </c>
      <c r="F53" s="52">
        <v>46024</v>
      </c>
      <c r="G53" s="51" t="s">
        <v>30</v>
      </c>
      <c r="H53" s="51" t="s">
        <v>30</v>
      </c>
      <c r="I53" s="6" t="s">
        <v>30</v>
      </c>
      <c r="J53" s="8">
        <v>30</v>
      </c>
      <c r="K53" s="8">
        <v>29.69</v>
      </c>
      <c r="L53" s="8" t="s">
        <v>30</v>
      </c>
      <c r="M53" s="8" t="s">
        <v>30</v>
      </c>
      <c r="N53" s="53" t="s">
        <v>30</v>
      </c>
      <c r="O53" s="53" t="s">
        <v>30</v>
      </c>
      <c r="P53" s="53" t="s">
        <v>30</v>
      </c>
      <c r="Q53" s="53" t="s">
        <v>30</v>
      </c>
      <c r="R53" s="53" t="s">
        <v>30</v>
      </c>
      <c r="S53" s="53" t="s">
        <v>30</v>
      </c>
      <c r="T53" s="8">
        <v>30.016999999999999</v>
      </c>
      <c r="U53" s="8">
        <v>29.707000000000001</v>
      </c>
      <c r="V53" s="11">
        <f>T53-J53</f>
        <v>1.699999999999946E-2</v>
      </c>
      <c r="W53" s="12" t="s">
        <v>30</v>
      </c>
      <c r="X53" s="12" t="s">
        <v>30</v>
      </c>
      <c r="Y53" s="12" t="s">
        <v>30</v>
      </c>
      <c r="Z53" s="13">
        <f>IFERROR((V53/J53)*100,0)</f>
        <v>5.6666666666664874E-2</v>
      </c>
      <c r="AA53" s="47"/>
    </row>
    <row r="54" spans="1:27" ht="16.25" customHeight="1" x14ac:dyDescent="0.15">
      <c r="A54" s="49">
        <v>42</v>
      </c>
      <c r="B54" s="50" t="s">
        <v>42</v>
      </c>
      <c r="C54" s="51" t="s">
        <v>30</v>
      </c>
      <c r="D54" s="56" t="s">
        <v>41</v>
      </c>
      <c r="E54" s="52" t="s">
        <v>30</v>
      </c>
      <c r="F54" s="52">
        <v>46025</v>
      </c>
      <c r="G54" s="51" t="s">
        <v>30</v>
      </c>
      <c r="H54" s="51" t="s">
        <v>30</v>
      </c>
      <c r="I54" s="6" t="s">
        <v>30</v>
      </c>
      <c r="J54" s="8">
        <v>95</v>
      </c>
      <c r="K54" s="8">
        <v>94.149000000000001</v>
      </c>
      <c r="L54" s="8" t="s">
        <v>30</v>
      </c>
      <c r="M54" s="8" t="s">
        <v>30</v>
      </c>
      <c r="N54" s="53" t="s">
        <v>30</v>
      </c>
      <c r="O54" s="53" t="s">
        <v>30</v>
      </c>
      <c r="P54" s="53" t="s">
        <v>30</v>
      </c>
      <c r="Q54" s="53" t="s">
        <v>30</v>
      </c>
      <c r="R54" s="53" t="s">
        <v>30</v>
      </c>
      <c r="S54" s="53" t="s">
        <v>30</v>
      </c>
      <c r="T54" s="8">
        <v>95.046000000000006</v>
      </c>
      <c r="U54" s="8">
        <v>94.149000000000001</v>
      </c>
      <c r="V54" s="11">
        <f t="shared" ref="V54:V60" si="9">T54-J54</f>
        <v>4.600000000000648E-2</v>
      </c>
      <c r="W54" s="12" t="s">
        <v>30</v>
      </c>
      <c r="X54" s="12" t="s">
        <v>30</v>
      </c>
      <c r="Y54" s="12" t="s">
        <v>30</v>
      </c>
      <c r="Z54" s="13">
        <f t="shared" ref="Z54:Z60" si="10">IFERROR((V54/J54)*100,0)</f>
        <v>4.8421052631585769E-2</v>
      </c>
      <c r="AA54" s="47"/>
    </row>
    <row r="55" spans="1:27" ht="16.25" customHeight="1" x14ac:dyDescent="0.15">
      <c r="A55" s="49">
        <v>43</v>
      </c>
      <c r="B55" s="50" t="s">
        <v>42</v>
      </c>
      <c r="C55" s="51" t="s">
        <v>30</v>
      </c>
      <c r="D55" s="51" t="s">
        <v>41</v>
      </c>
      <c r="E55" s="52" t="s">
        <v>30</v>
      </c>
      <c r="F55" s="52">
        <v>46031</v>
      </c>
      <c r="G55" s="51" t="s">
        <v>30</v>
      </c>
      <c r="H55" s="51" t="s">
        <v>30</v>
      </c>
      <c r="I55" s="6" t="s">
        <v>30</v>
      </c>
      <c r="J55" s="8">
        <v>30</v>
      </c>
      <c r="K55" s="8">
        <v>29.716999999999999</v>
      </c>
      <c r="L55" s="8" t="s">
        <v>30</v>
      </c>
      <c r="M55" s="8" t="s">
        <v>30</v>
      </c>
      <c r="N55" s="53" t="s">
        <v>30</v>
      </c>
      <c r="O55" s="53" t="s">
        <v>30</v>
      </c>
      <c r="P55" s="53" t="s">
        <v>30</v>
      </c>
      <c r="Q55" s="53" t="s">
        <v>30</v>
      </c>
      <c r="R55" s="53" t="s">
        <v>30</v>
      </c>
      <c r="S55" s="53" t="s">
        <v>30</v>
      </c>
      <c r="T55" s="8">
        <v>30.058</v>
      </c>
      <c r="U55" s="8">
        <v>29.774000000000001</v>
      </c>
      <c r="V55" s="11">
        <f t="shared" si="9"/>
        <v>5.7999999999999829E-2</v>
      </c>
      <c r="W55" s="12" t="s">
        <v>30</v>
      </c>
      <c r="X55" s="12" t="s">
        <v>30</v>
      </c>
      <c r="Y55" s="12" t="s">
        <v>30</v>
      </c>
      <c r="Z55" s="13">
        <f t="shared" si="10"/>
        <v>0.19333333333333277</v>
      </c>
      <c r="AA55" s="47"/>
    </row>
    <row r="56" spans="1:27" ht="16.25" customHeight="1" x14ac:dyDescent="0.15">
      <c r="A56" s="49">
        <v>44</v>
      </c>
      <c r="B56" s="50" t="s">
        <v>42</v>
      </c>
      <c r="C56" s="51" t="s">
        <v>30</v>
      </c>
      <c r="D56" s="51" t="s">
        <v>41</v>
      </c>
      <c r="E56" s="52" t="s">
        <v>30</v>
      </c>
      <c r="F56" s="52">
        <v>46033</v>
      </c>
      <c r="G56" s="51" t="s">
        <v>30</v>
      </c>
      <c r="H56" s="51" t="s">
        <v>30</v>
      </c>
      <c r="I56" s="6" t="s">
        <v>30</v>
      </c>
      <c r="J56" s="8">
        <v>94</v>
      </c>
      <c r="K56" s="8">
        <v>93.037999999999997</v>
      </c>
      <c r="L56" s="8" t="s">
        <v>30</v>
      </c>
      <c r="M56" s="8" t="s">
        <v>30</v>
      </c>
      <c r="N56" s="53" t="s">
        <v>30</v>
      </c>
      <c r="O56" s="53" t="s">
        <v>30</v>
      </c>
      <c r="P56" s="53" t="s">
        <v>30</v>
      </c>
      <c r="Q56" s="53" t="s">
        <v>30</v>
      </c>
      <c r="R56" s="53" t="s">
        <v>30</v>
      </c>
      <c r="S56" s="53" t="s">
        <v>30</v>
      </c>
      <c r="T56" s="8">
        <v>94.04</v>
      </c>
      <c r="U56" s="8">
        <v>93.078000000000003</v>
      </c>
      <c r="V56" s="11">
        <f t="shared" si="9"/>
        <v>4.0000000000006253E-2</v>
      </c>
      <c r="W56" s="12" t="s">
        <v>30</v>
      </c>
      <c r="X56" s="12" t="s">
        <v>30</v>
      </c>
      <c r="Y56" s="12" t="s">
        <v>30</v>
      </c>
      <c r="Z56" s="13">
        <f t="shared" si="10"/>
        <v>4.2553191489368355E-2</v>
      </c>
      <c r="AA56" s="47"/>
    </row>
    <row r="57" spans="1:27" ht="16.25" customHeight="1" x14ac:dyDescent="0.15">
      <c r="A57" s="49">
        <v>45</v>
      </c>
      <c r="B57" s="50" t="s">
        <v>42</v>
      </c>
      <c r="C57" s="51" t="s">
        <v>30</v>
      </c>
      <c r="D57" s="51" t="s">
        <v>41</v>
      </c>
      <c r="E57" s="52" t="s">
        <v>30</v>
      </c>
      <c r="F57" s="52">
        <v>46038</v>
      </c>
      <c r="G57" s="51" t="s">
        <v>30</v>
      </c>
      <c r="H57" s="51" t="s">
        <v>30</v>
      </c>
      <c r="I57" s="6" t="s">
        <v>30</v>
      </c>
      <c r="J57" s="8">
        <v>30</v>
      </c>
      <c r="K57" s="8">
        <v>29.693000000000001</v>
      </c>
      <c r="L57" s="8" t="s">
        <v>30</v>
      </c>
      <c r="M57" s="8" t="s">
        <v>30</v>
      </c>
      <c r="N57" s="53" t="s">
        <v>30</v>
      </c>
      <c r="O57" s="53" t="s">
        <v>30</v>
      </c>
      <c r="P57" s="53" t="s">
        <v>30</v>
      </c>
      <c r="Q57" s="53" t="s">
        <v>30</v>
      </c>
      <c r="R57" s="53" t="s">
        <v>30</v>
      </c>
      <c r="S57" s="53" t="s">
        <v>30</v>
      </c>
      <c r="T57" s="8">
        <v>30.016999999999999</v>
      </c>
      <c r="U57" s="8">
        <v>29.71</v>
      </c>
      <c r="V57" s="11">
        <f t="shared" si="9"/>
        <v>1.699999999999946E-2</v>
      </c>
      <c r="W57" s="12" t="s">
        <v>30</v>
      </c>
      <c r="X57" s="12" t="s">
        <v>30</v>
      </c>
      <c r="Y57" s="12" t="s">
        <v>30</v>
      </c>
      <c r="Z57" s="13">
        <f t="shared" si="10"/>
        <v>5.6666666666664874E-2</v>
      </c>
      <c r="AA57" s="47"/>
    </row>
    <row r="58" spans="1:27" ht="16.25" customHeight="1" x14ac:dyDescent="0.15">
      <c r="A58" s="49">
        <v>46</v>
      </c>
      <c r="B58" s="50" t="s">
        <v>42</v>
      </c>
      <c r="C58" s="51" t="s">
        <v>30</v>
      </c>
      <c r="D58" s="51" t="s">
        <v>41</v>
      </c>
      <c r="E58" s="52" t="s">
        <v>30</v>
      </c>
      <c r="F58" s="52">
        <v>46039</v>
      </c>
      <c r="G58" s="51" t="s">
        <v>30</v>
      </c>
      <c r="H58" s="51" t="s">
        <v>30</v>
      </c>
      <c r="I58" s="6" t="s">
        <v>30</v>
      </c>
      <c r="J58" s="8">
        <v>95</v>
      </c>
      <c r="K58" s="8">
        <v>93.953000000000003</v>
      </c>
      <c r="L58" s="8" t="s">
        <v>30</v>
      </c>
      <c r="M58" s="8" t="s">
        <v>30</v>
      </c>
      <c r="N58" s="53" t="s">
        <v>30</v>
      </c>
      <c r="O58" s="53" t="s">
        <v>30</v>
      </c>
      <c r="P58" s="53" t="s">
        <v>30</v>
      </c>
      <c r="Q58" s="53" t="s">
        <v>30</v>
      </c>
      <c r="R58" s="53" t="s">
        <v>30</v>
      </c>
      <c r="S58" s="53" t="s">
        <v>30</v>
      </c>
      <c r="T58" s="8">
        <v>95.046000000000006</v>
      </c>
      <c r="U58" s="8">
        <v>93.998999999999995</v>
      </c>
      <c r="V58" s="11">
        <f t="shared" si="9"/>
        <v>4.600000000000648E-2</v>
      </c>
      <c r="W58" s="12" t="s">
        <v>30</v>
      </c>
      <c r="X58" s="12" t="s">
        <v>30</v>
      </c>
      <c r="Y58" s="12" t="s">
        <v>30</v>
      </c>
      <c r="Z58" s="13">
        <f t="shared" si="10"/>
        <v>4.8421052631585769E-2</v>
      </c>
      <c r="AA58" s="47"/>
    </row>
    <row r="59" spans="1:27" ht="16.25" customHeight="1" x14ac:dyDescent="0.15">
      <c r="A59" s="49">
        <v>47</v>
      </c>
      <c r="B59" s="50" t="s">
        <v>42</v>
      </c>
      <c r="C59" s="51" t="s">
        <v>30</v>
      </c>
      <c r="D59" s="51" t="s">
        <v>41</v>
      </c>
      <c r="E59" s="52" t="s">
        <v>30</v>
      </c>
      <c r="F59" s="52">
        <v>46049</v>
      </c>
      <c r="G59" s="51" t="s">
        <v>30</v>
      </c>
      <c r="H59" s="51" t="s">
        <v>30</v>
      </c>
      <c r="I59" s="6" t="s">
        <v>30</v>
      </c>
      <c r="J59" s="8">
        <v>10</v>
      </c>
      <c r="K59" s="8">
        <v>9.9130000000000003</v>
      </c>
      <c r="L59" s="8" t="s">
        <v>30</v>
      </c>
      <c r="M59" s="8" t="s">
        <v>30</v>
      </c>
      <c r="N59" s="53" t="s">
        <v>30</v>
      </c>
      <c r="O59" s="53" t="s">
        <v>30</v>
      </c>
      <c r="P59" s="53" t="s">
        <v>30</v>
      </c>
      <c r="Q59" s="53" t="s">
        <v>30</v>
      </c>
      <c r="R59" s="53" t="s">
        <v>30</v>
      </c>
      <c r="S59" s="53" t="s">
        <v>30</v>
      </c>
      <c r="T59" s="8">
        <v>10.023999999999999</v>
      </c>
      <c r="U59" s="8">
        <v>9.9369999999999994</v>
      </c>
      <c r="V59" s="11">
        <f t="shared" si="9"/>
        <v>2.3999999999999133E-2</v>
      </c>
      <c r="W59" s="12" t="s">
        <v>30</v>
      </c>
      <c r="X59" s="12" t="s">
        <v>30</v>
      </c>
      <c r="Y59" s="12" t="s">
        <v>30</v>
      </c>
      <c r="Z59" s="13">
        <f t="shared" si="10"/>
        <v>0.23999999999999136</v>
      </c>
      <c r="AA59" s="47"/>
    </row>
    <row r="60" spans="1:27" ht="16.25" customHeight="1" x14ac:dyDescent="0.15">
      <c r="A60" s="49">
        <v>48</v>
      </c>
      <c r="B60" s="50" t="s">
        <v>42</v>
      </c>
      <c r="C60" s="51" t="s">
        <v>30</v>
      </c>
      <c r="D60" s="51" t="s">
        <v>41</v>
      </c>
      <c r="E60" s="52" t="s">
        <v>30</v>
      </c>
      <c r="F60" s="52">
        <v>46052</v>
      </c>
      <c r="G60" s="51" t="s">
        <v>30</v>
      </c>
      <c r="H60" s="51" t="s">
        <v>30</v>
      </c>
      <c r="I60" s="6" t="s">
        <v>30</v>
      </c>
      <c r="J60" s="8">
        <v>18</v>
      </c>
      <c r="K60" s="8">
        <v>17.829999999999998</v>
      </c>
      <c r="L60" s="8" t="s">
        <v>30</v>
      </c>
      <c r="M60" s="8" t="s">
        <v>30</v>
      </c>
      <c r="N60" s="53" t="s">
        <v>30</v>
      </c>
      <c r="O60" s="53" t="s">
        <v>30</v>
      </c>
      <c r="P60" s="53" t="s">
        <v>30</v>
      </c>
      <c r="Q60" s="53" t="s">
        <v>30</v>
      </c>
      <c r="R60" s="53" t="s">
        <v>30</v>
      </c>
      <c r="S60" s="53" t="s">
        <v>30</v>
      </c>
      <c r="T60" s="8">
        <v>18.007000000000001</v>
      </c>
      <c r="U60" s="8">
        <v>17.837</v>
      </c>
      <c r="V60" s="11">
        <f t="shared" si="9"/>
        <v>7.0000000000014495E-3</v>
      </c>
      <c r="W60" s="12" t="s">
        <v>30</v>
      </c>
      <c r="X60" s="12" t="s">
        <v>30</v>
      </c>
      <c r="Y60" s="12" t="s">
        <v>30</v>
      </c>
      <c r="Z60" s="13">
        <f t="shared" si="10"/>
        <v>3.8888888888896946E-2</v>
      </c>
      <c r="AA60" s="47"/>
    </row>
    <row r="61" spans="1:27" ht="16.25" customHeight="1" x14ac:dyDescent="0.15">
      <c r="A61" s="49">
        <v>49</v>
      </c>
      <c r="B61" s="50" t="s">
        <v>34</v>
      </c>
      <c r="C61" s="51" t="s">
        <v>30</v>
      </c>
      <c r="D61" s="51" t="s">
        <v>35</v>
      </c>
      <c r="E61" s="52" t="s">
        <v>30</v>
      </c>
      <c r="F61" s="52">
        <v>46025</v>
      </c>
      <c r="G61" s="51">
        <v>34786467</v>
      </c>
      <c r="H61" s="51">
        <v>34798467</v>
      </c>
      <c r="I61" s="6">
        <f t="shared" si="0"/>
        <v>12000</v>
      </c>
      <c r="J61" s="8">
        <v>120</v>
      </c>
      <c r="K61" s="8">
        <v>118.572</v>
      </c>
      <c r="L61" s="8" t="s">
        <v>30</v>
      </c>
      <c r="M61" s="8" t="s">
        <v>30</v>
      </c>
      <c r="N61" s="53" t="s">
        <v>30</v>
      </c>
      <c r="O61" s="53" t="s">
        <v>30</v>
      </c>
      <c r="P61" s="53" t="s">
        <v>30</v>
      </c>
      <c r="Q61" s="53" t="s">
        <v>30</v>
      </c>
      <c r="R61" s="53" t="s">
        <v>30</v>
      </c>
      <c r="S61" s="53" t="s">
        <v>30</v>
      </c>
      <c r="T61" s="8">
        <v>119.95</v>
      </c>
      <c r="U61" s="8">
        <v>118.52200000000001</v>
      </c>
      <c r="V61" s="11">
        <f t="shared" si="1"/>
        <v>-4.9999999999997158E-2</v>
      </c>
      <c r="W61" s="12" t="s">
        <v>30</v>
      </c>
      <c r="X61" s="12" t="s">
        <v>30</v>
      </c>
      <c r="Y61" s="12" t="s">
        <v>30</v>
      </c>
      <c r="Z61" s="13">
        <f t="shared" si="5"/>
        <v>-4.1666666666664298E-2</v>
      </c>
      <c r="AA61" s="47"/>
    </row>
    <row r="62" spans="1:27" ht="16.25" customHeight="1" x14ac:dyDescent="0.15">
      <c r="A62" s="49">
        <v>50</v>
      </c>
      <c r="B62" s="50" t="s">
        <v>47</v>
      </c>
      <c r="C62" s="51" t="s">
        <v>30</v>
      </c>
      <c r="D62" s="51" t="s">
        <v>35</v>
      </c>
      <c r="E62" s="52" t="s">
        <v>30</v>
      </c>
      <c r="F62" s="52">
        <v>46028</v>
      </c>
      <c r="G62" s="51">
        <v>34857078</v>
      </c>
      <c r="H62" s="51">
        <v>34865078</v>
      </c>
      <c r="I62" s="6">
        <f t="shared" si="0"/>
        <v>8000</v>
      </c>
      <c r="J62" s="8">
        <v>80</v>
      </c>
      <c r="K62" s="8">
        <v>78.984999999999999</v>
      </c>
      <c r="L62" s="8" t="s">
        <v>30</v>
      </c>
      <c r="M62" s="8" t="s">
        <v>30</v>
      </c>
      <c r="N62" s="53" t="s">
        <v>30</v>
      </c>
      <c r="O62" s="53" t="s">
        <v>30</v>
      </c>
      <c r="P62" s="53" t="s">
        <v>30</v>
      </c>
      <c r="Q62" s="53" t="s">
        <v>30</v>
      </c>
      <c r="R62" s="53" t="s">
        <v>30</v>
      </c>
      <c r="S62" s="53" t="s">
        <v>30</v>
      </c>
      <c r="T62" s="8">
        <v>80</v>
      </c>
      <c r="U62" s="8">
        <v>78.984999999999999</v>
      </c>
      <c r="V62" s="11">
        <f t="shared" si="1"/>
        <v>0</v>
      </c>
      <c r="W62" s="12" t="s">
        <v>30</v>
      </c>
      <c r="X62" s="12" t="s">
        <v>30</v>
      </c>
      <c r="Y62" s="12" t="s">
        <v>30</v>
      </c>
      <c r="Z62" s="13">
        <f t="shared" si="5"/>
        <v>0</v>
      </c>
      <c r="AA62" s="47"/>
    </row>
    <row r="63" spans="1:27" ht="16.25" customHeight="1" x14ac:dyDescent="0.15">
      <c r="A63" s="49">
        <v>51</v>
      </c>
      <c r="B63" s="50" t="s">
        <v>67</v>
      </c>
      <c r="C63" s="51" t="s">
        <v>30</v>
      </c>
      <c r="D63" s="51" t="s">
        <v>35</v>
      </c>
      <c r="E63" s="52" t="s">
        <v>30</v>
      </c>
      <c r="F63" s="52">
        <v>46032</v>
      </c>
      <c r="G63" s="51">
        <v>34916439</v>
      </c>
      <c r="H63" s="51">
        <v>34917039</v>
      </c>
      <c r="I63" s="6">
        <f t="shared" si="0"/>
        <v>600</v>
      </c>
      <c r="J63" s="8">
        <v>6</v>
      </c>
      <c r="K63" s="8">
        <v>5.9240000000000004</v>
      </c>
      <c r="L63" s="8" t="s">
        <v>30</v>
      </c>
      <c r="M63" s="8" t="s">
        <v>30</v>
      </c>
      <c r="N63" s="53" t="s">
        <v>30</v>
      </c>
      <c r="O63" s="53" t="s">
        <v>30</v>
      </c>
      <c r="P63" s="53" t="s">
        <v>30</v>
      </c>
      <c r="Q63" s="53" t="s">
        <v>30</v>
      </c>
      <c r="R63" s="53" t="s">
        <v>30</v>
      </c>
      <c r="S63" s="53" t="s">
        <v>30</v>
      </c>
      <c r="T63" s="8">
        <v>6</v>
      </c>
      <c r="U63" s="8">
        <v>5.9240000000000004</v>
      </c>
      <c r="V63" s="11">
        <f t="shared" si="1"/>
        <v>0</v>
      </c>
      <c r="W63" s="12" t="s">
        <v>30</v>
      </c>
      <c r="X63" s="12" t="s">
        <v>30</v>
      </c>
      <c r="Y63" s="12" t="s">
        <v>30</v>
      </c>
      <c r="Z63" s="13">
        <f t="shared" si="5"/>
        <v>0</v>
      </c>
      <c r="AA63" s="47"/>
    </row>
    <row r="64" spans="1:27" ht="16.25" customHeight="1" x14ac:dyDescent="0.15">
      <c r="A64" s="49">
        <v>52</v>
      </c>
      <c r="B64" s="50" t="s">
        <v>70</v>
      </c>
      <c r="C64" s="51" t="s">
        <v>30</v>
      </c>
      <c r="D64" s="51" t="s">
        <v>35</v>
      </c>
      <c r="E64" s="52" t="s">
        <v>30</v>
      </c>
      <c r="F64" s="52">
        <v>46034</v>
      </c>
      <c r="G64" s="51">
        <v>34920649</v>
      </c>
      <c r="H64" s="51">
        <v>34924349</v>
      </c>
      <c r="I64" s="6">
        <f t="shared" si="0"/>
        <v>3700</v>
      </c>
      <c r="J64" s="8">
        <v>37</v>
      </c>
      <c r="K64" s="8">
        <v>36.56</v>
      </c>
      <c r="L64" s="8" t="s">
        <v>30</v>
      </c>
      <c r="M64" s="8" t="s">
        <v>30</v>
      </c>
      <c r="N64" s="53" t="s">
        <v>30</v>
      </c>
      <c r="O64" s="53" t="s">
        <v>30</v>
      </c>
      <c r="P64" s="53" t="s">
        <v>30</v>
      </c>
      <c r="Q64" s="53" t="s">
        <v>30</v>
      </c>
      <c r="R64" s="53" t="s">
        <v>30</v>
      </c>
      <c r="S64" s="53" t="s">
        <v>30</v>
      </c>
      <c r="T64" s="8">
        <v>37</v>
      </c>
      <c r="U64" s="8">
        <v>36.56</v>
      </c>
      <c r="V64" s="11">
        <f t="shared" si="1"/>
        <v>0</v>
      </c>
      <c r="W64" s="12" t="s">
        <v>30</v>
      </c>
      <c r="X64" s="12" t="s">
        <v>30</v>
      </c>
      <c r="Y64" s="12" t="s">
        <v>30</v>
      </c>
      <c r="Z64" s="13">
        <f t="shared" si="5"/>
        <v>0</v>
      </c>
      <c r="AA64" s="47"/>
    </row>
    <row r="65" spans="1:27" ht="16.25" customHeight="1" x14ac:dyDescent="0.15">
      <c r="A65" s="49">
        <v>53</v>
      </c>
      <c r="B65" s="50" t="s">
        <v>34</v>
      </c>
      <c r="C65" s="51" t="s">
        <v>30</v>
      </c>
      <c r="D65" s="51" t="s">
        <v>35</v>
      </c>
      <c r="E65" s="52" t="s">
        <v>30</v>
      </c>
      <c r="F65" s="52">
        <v>46035</v>
      </c>
      <c r="G65" s="51">
        <v>34924350</v>
      </c>
      <c r="H65" s="51">
        <v>34939550</v>
      </c>
      <c r="I65" s="6">
        <f t="shared" si="0"/>
        <v>15200</v>
      </c>
      <c r="J65" s="8">
        <v>152</v>
      </c>
      <c r="K65" s="8">
        <v>150.191</v>
      </c>
      <c r="L65" s="8" t="s">
        <v>30</v>
      </c>
      <c r="M65" s="8" t="s">
        <v>30</v>
      </c>
      <c r="N65" s="53" t="s">
        <v>30</v>
      </c>
      <c r="O65" s="53" t="s">
        <v>30</v>
      </c>
      <c r="P65" s="53" t="s">
        <v>30</v>
      </c>
      <c r="Q65" s="53" t="s">
        <v>30</v>
      </c>
      <c r="R65" s="53" t="s">
        <v>30</v>
      </c>
      <c r="S65" s="53" t="s">
        <v>30</v>
      </c>
      <c r="T65" s="8">
        <v>151.935</v>
      </c>
      <c r="U65" s="8">
        <v>150.12700000000001</v>
      </c>
      <c r="V65" s="11">
        <f t="shared" si="1"/>
        <v>-6.4999999999997726E-2</v>
      </c>
      <c r="W65" s="12" t="s">
        <v>30</v>
      </c>
      <c r="X65" s="12" t="s">
        <v>30</v>
      </c>
      <c r="Y65" s="12" t="s">
        <v>30</v>
      </c>
      <c r="Z65" s="13">
        <f t="shared" si="5"/>
        <v>-4.2763157894735344E-2</v>
      </c>
      <c r="AA65" s="47"/>
    </row>
    <row r="66" spans="1:27" ht="16.25" customHeight="1" x14ac:dyDescent="0.15">
      <c r="A66" s="49">
        <v>54</v>
      </c>
      <c r="B66" s="50" t="s">
        <v>47</v>
      </c>
      <c r="C66" s="51" t="s">
        <v>30</v>
      </c>
      <c r="D66" s="51" t="s">
        <v>35</v>
      </c>
      <c r="E66" s="52" t="s">
        <v>30</v>
      </c>
      <c r="F66" s="52">
        <v>46042</v>
      </c>
      <c r="G66" s="51">
        <v>35009781</v>
      </c>
      <c r="H66" s="51">
        <v>35017581</v>
      </c>
      <c r="I66" s="6">
        <f t="shared" si="0"/>
        <v>7800</v>
      </c>
      <c r="J66" s="8">
        <v>78</v>
      </c>
      <c r="K66" s="8">
        <v>77.072000000000003</v>
      </c>
      <c r="L66" s="8" t="s">
        <v>30</v>
      </c>
      <c r="M66" s="8" t="s">
        <v>30</v>
      </c>
      <c r="N66" s="53" t="s">
        <v>30</v>
      </c>
      <c r="O66" s="53" t="s">
        <v>30</v>
      </c>
      <c r="P66" s="53" t="s">
        <v>30</v>
      </c>
      <c r="Q66" s="53" t="s">
        <v>30</v>
      </c>
      <c r="R66" s="53" t="s">
        <v>30</v>
      </c>
      <c r="S66" s="53" t="s">
        <v>30</v>
      </c>
      <c r="T66" s="8">
        <v>78</v>
      </c>
      <c r="U66" s="8">
        <v>77.072000000000003</v>
      </c>
      <c r="V66" s="11">
        <f t="shared" si="1"/>
        <v>0</v>
      </c>
      <c r="W66" s="12" t="s">
        <v>30</v>
      </c>
      <c r="X66" s="12" t="s">
        <v>30</v>
      </c>
      <c r="Y66" s="12" t="s">
        <v>30</v>
      </c>
      <c r="Z66" s="13">
        <f t="shared" si="5"/>
        <v>0</v>
      </c>
      <c r="AA66" s="47"/>
    </row>
    <row r="67" spans="1:27" ht="16.25" customHeight="1" x14ac:dyDescent="0.15">
      <c r="A67" s="49">
        <v>55</v>
      </c>
      <c r="B67" s="50" t="s">
        <v>34</v>
      </c>
      <c r="C67" s="51" t="s">
        <v>30</v>
      </c>
      <c r="D67" s="51" t="s">
        <v>35</v>
      </c>
      <c r="E67" s="52" t="s">
        <v>30</v>
      </c>
      <c r="F67" s="52">
        <v>46052</v>
      </c>
      <c r="G67" s="51">
        <v>35075192</v>
      </c>
      <c r="H67" s="51">
        <v>35087192</v>
      </c>
      <c r="I67" s="6">
        <f t="shared" si="0"/>
        <v>12000</v>
      </c>
      <c r="J67" s="8">
        <v>120</v>
      </c>
      <c r="K67" s="8">
        <v>118.572</v>
      </c>
      <c r="L67" s="8" t="s">
        <v>30</v>
      </c>
      <c r="M67" s="8" t="s">
        <v>30</v>
      </c>
      <c r="N67" s="53" t="s">
        <v>30</v>
      </c>
      <c r="O67" s="53" t="s">
        <v>30</v>
      </c>
      <c r="P67" s="53" t="s">
        <v>30</v>
      </c>
      <c r="Q67" s="53" t="s">
        <v>30</v>
      </c>
      <c r="R67" s="53" t="s">
        <v>30</v>
      </c>
      <c r="S67" s="53" t="s">
        <v>30</v>
      </c>
      <c r="T67" s="8">
        <v>119.935</v>
      </c>
      <c r="U67" s="8">
        <v>118.508</v>
      </c>
      <c r="V67" s="11">
        <f t="shared" si="1"/>
        <v>-6.4999999999997726E-2</v>
      </c>
      <c r="W67" s="12" t="s">
        <v>30</v>
      </c>
      <c r="X67" s="12" t="s">
        <v>30</v>
      </c>
      <c r="Y67" s="12" t="s">
        <v>30</v>
      </c>
      <c r="Z67" s="13">
        <f t="shared" si="5"/>
        <v>-5.4166666666664767E-2</v>
      </c>
      <c r="AA67" s="47"/>
    </row>
    <row r="68" spans="1:27" ht="16.25" customHeight="1" x14ac:dyDescent="0.15">
      <c r="A68" s="49">
        <v>56</v>
      </c>
      <c r="B68" s="50" t="s">
        <v>48</v>
      </c>
      <c r="C68" s="50" t="s">
        <v>49</v>
      </c>
      <c r="D68" s="51" t="s">
        <v>36</v>
      </c>
      <c r="E68" s="52">
        <v>46026</v>
      </c>
      <c r="F68" s="52">
        <v>46028</v>
      </c>
      <c r="G68" s="51">
        <v>8483351</v>
      </c>
      <c r="H68" s="51">
        <v>8500051</v>
      </c>
      <c r="I68" s="6">
        <f t="shared" si="0"/>
        <v>16700</v>
      </c>
      <c r="J68" s="8">
        <v>167</v>
      </c>
      <c r="K68" s="8">
        <v>165.078</v>
      </c>
      <c r="L68" s="8">
        <v>0.32500000000000001</v>
      </c>
      <c r="M68" s="8">
        <v>0.32100000000000001</v>
      </c>
      <c r="N68" s="8">
        <v>167.072</v>
      </c>
      <c r="O68" s="8">
        <v>165.149</v>
      </c>
      <c r="P68" s="8">
        <v>167.05099999999999</v>
      </c>
      <c r="Q68" s="8">
        <v>165.12799999999999</v>
      </c>
      <c r="R68" s="8">
        <v>0.2</v>
      </c>
      <c r="S68" s="8">
        <v>0.19800000000000001</v>
      </c>
      <c r="T68" s="8">
        <v>167.06</v>
      </c>
      <c r="U68" s="8">
        <v>165.137</v>
      </c>
      <c r="V68" s="11">
        <f t="shared" si="1"/>
        <v>6.0000000000002274E-2</v>
      </c>
      <c r="W68" s="12">
        <f t="shared" ref="W68:W74" si="11">IFERROR((N68-L68-J68)/J68*100,0)</f>
        <v>-0.15149700598801552</v>
      </c>
      <c r="X68" s="12">
        <f t="shared" si="3"/>
        <v>-1.2574850299410184E-2</v>
      </c>
      <c r="Y68" s="12">
        <f t="shared" si="4"/>
        <v>0.12526146082433021</v>
      </c>
      <c r="Z68" s="13">
        <f t="shared" si="5"/>
        <v>3.5928143712576209E-2</v>
      </c>
      <c r="AA68" s="47"/>
    </row>
    <row r="69" spans="1:27" ht="16.25" customHeight="1" x14ac:dyDescent="0.15">
      <c r="A69" s="49">
        <v>57</v>
      </c>
      <c r="B69" s="50" t="s">
        <v>68</v>
      </c>
      <c r="C69" s="50" t="s">
        <v>49</v>
      </c>
      <c r="D69" s="51" t="s">
        <v>36</v>
      </c>
      <c r="E69" s="52">
        <v>46026</v>
      </c>
      <c r="F69" s="52">
        <v>46029</v>
      </c>
      <c r="G69" s="51">
        <v>8513015</v>
      </c>
      <c r="H69" s="51">
        <v>8518015</v>
      </c>
      <c r="I69" s="6">
        <f t="shared" si="0"/>
        <v>5000</v>
      </c>
      <c r="J69" s="8">
        <v>50</v>
      </c>
      <c r="K69" s="8">
        <v>49.423999999999999</v>
      </c>
      <c r="L69" s="8">
        <v>0.14799999999999999</v>
      </c>
      <c r="M69" s="8">
        <v>0.14599999999999999</v>
      </c>
      <c r="N69" s="8">
        <v>50.055</v>
      </c>
      <c r="O69" s="8">
        <v>49.478999999999999</v>
      </c>
      <c r="P69" s="8">
        <v>50.033000000000001</v>
      </c>
      <c r="Q69" s="8">
        <v>49.457000000000001</v>
      </c>
      <c r="R69" s="8">
        <v>7.8E-2</v>
      </c>
      <c r="S69" s="8">
        <v>7.6999999999999999E-2</v>
      </c>
      <c r="T69" s="8">
        <v>50.014000000000003</v>
      </c>
      <c r="U69" s="8">
        <v>49.439</v>
      </c>
      <c r="V69" s="11">
        <f t="shared" si="1"/>
        <v>1.4000000000002899E-2</v>
      </c>
      <c r="W69" s="12">
        <f t="shared" si="11"/>
        <v>-0.18600000000000705</v>
      </c>
      <c r="X69" s="12">
        <f t="shared" si="3"/>
        <v>-4.399999999999693E-2</v>
      </c>
      <c r="Y69" s="12">
        <f t="shared" si="4"/>
        <v>0.1181062956661087</v>
      </c>
      <c r="Z69" s="13">
        <f t="shared" si="5"/>
        <v>2.8000000000005798E-2</v>
      </c>
      <c r="AA69" s="47"/>
    </row>
    <row r="70" spans="1:27" ht="16.25" customHeight="1" x14ac:dyDescent="0.15">
      <c r="A70" s="49">
        <v>58</v>
      </c>
      <c r="B70" s="50" t="s">
        <v>62</v>
      </c>
      <c r="C70" s="50" t="s">
        <v>49</v>
      </c>
      <c r="D70" s="51" t="s">
        <v>36</v>
      </c>
      <c r="E70" s="52">
        <v>46031</v>
      </c>
      <c r="F70" s="52">
        <v>46032</v>
      </c>
      <c r="G70" s="51">
        <v>8529762</v>
      </c>
      <c r="H70" s="51">
        <v>8548762</v>
      </c>
      <c r="I70" s="6">
        <f t="shared" si="0"/>
        <v>19000</v>
      </c>
      <c r="J70" s="8">
        <v>190</v>
      </c>
      <c r="K70" s="8">
        <v>187.959</v>
      </c>
      <c r="L70" s="8">
        <v>0.64100000000000001</v>
      </c>
      <c r="M70" s="8">
        <v>0.63400000000000001</v>
      </c>
      <c r="N70" s="8">
        <v>190.053</v>
      </c>
      <c r="O70" s="8">
        <v>118.011</v>
      </c>
      <c r="P70" s="8">
        <v>190.04300000000001</v>
      </c>
      <c r="Q70" s="8">
        <v>188.001</v>
      </c>
      <c r="R70" s="8">
        <v>0.44900000000000001</v>
      </c>
      <c r="S70" s="8">
        <v>0.44400000000000001</v>
      </c>
      <c r="T70" s="8">
        <v>190.02</v>
      </c>
      <c r="U70" s="8">
        <v>187.97900000000001</v>
      </c>
      <c r="V70" s="11">
        <f t="shared" si="1"/>
        <v>2.0000000000010232E-2</v>
      </c>
      <c r="W70" s="12">
        <f t="shared" si="11"/>
        <v>-0.30947368421052307</v>
      </c>
      <c r="X70" s="12">
        <f t="shared" si="3"/>
        <v>-5.263157894732055E-3</v>
      </c>
      <c r="Y70" s="12">
        <f t="shared" si="4"/>
        <v>0.22469065476756447</v>
      </c>
      <c r="Z70" s="13">
        <f t="shared" si="5"/>
        <v>1.0526315789479069E-2</v>
      </c>
      <c r="AA70" s="47"/>
    </row>
    <row r="71" spans="1:27" ht="16.25" customHeight="1" x14ac:dyDescent="0.15">
      <c r="A71" s="49">
        <v>59</v>
      </c>
      <c r="B71" s="50" t="s">
        <v>48</v>
      </c>
      <c r="C71" s="50" t="s">
        <v>49</v>
      </c>
      <c r="D71" s="51" t="s">
        <v>36</v>
      </c>
      <c r="E71" s="52">
        <v>46037</v>
      </c>
      <c r="F71" s="52">
        <v>45678</v>
      </c>
      <c r="G71" s="51">
        <v>8565541</v>
      </c>
      <c r="H71" s="51">
        <v>8579741</v>
      </c>
      <c r="I71" s="6">
        <f t="shared" si="0"/>
        <v>14200</v>
      </c>
      <c r="J71" s="8">
        <v>142</v>
      </c>
      <c r="K71" s="8">
        <v>140.47499999999999</v>
      </c>
      <c r="L71" s="8">
        <v>0.33</v>
      </c>
      <c r="M71" s="8">
        <v>0.32600000000000001</v>
      </c>
      <c r="N71" s="8">
        <v>142.07499999999999</v>
      </c>
      <c r="O71" s="8">
        <v>140.54900000000001</v>
      </c>
      <c r="P71" s="8">
        <v>142.05199999999999</v>
      </c>
      <c r="Q71" s="8">
        <v>140.52600000000001</v>
      </c>
      <c r="R71" s="8">
        <v>0.29899999999999999</v>
      </c>
      <c r="S71" s="8">
        <v>0.29599999999999999</v>
      </c>
      <c r="T71" s="8">
        <v>142.03700000000001</v>
      </c>
      <c r="U71" s="8">
        <v>140.511</v>
      </c>
      <c r="V71" s="11">
        <f t="shared" si="1"/>
        <v>3.7000000000006139E-2</v>
      </c>
      <c r="W71" s="12">
        <f t="shared" si="11"/>
        <v>-0.17957746478874922</v>
      </c>
      <c r="X71" s="12">
        <f t="shared" si="3"/>
        <v>-1.6197183098588825E-2</v>
      </c>
      <c r="Y71" s="12">
        <f t="shared" si="4"/>
        <v>0.20034849350632458</v>
      </c>
      <c r="Z71" s="13">
        <f t="shared" si="5"/>
        <v>2.6056338028173337E-2</v>
      </c>
      <c r="AA71" s="47"/>
    </row>
    <row r="72" spans="1:27" ht="16.25" customHeight="1" x14ac:dyDescent="0.15">
      <c r="A72" s="49">
        <v>60</v>
      </c>
      <c r="B72" s="50" t="s">
        <v>62</v>
      </c>
      <c r="C72" s="50" t="s">
        <v>49</v>
      </c>
      <c r="D72" s="51" t="s">
        <v>36</v>
      </c>
      <c r="E72" s="52">
        <v>46044</v>
      </c>
      <c r="F72" s="52">
        <v>46047</v>
      </c>
      <c r="G72" s="51">
        <v>8585959</v>
      </c>
      <c r="H72" s="51">
        <v>8604459</v>
      </c>
      <c r="I72" s="6">
        <f t="shared" si="0"/>
        <v>18500</v>
      </c>
      <c r="J72" s="8">
        <v>185</v>
      </c>
      <c r="K72" s="8">
        <v>183.035</v>
      </c>
      <c r="L72" s="8">
        <v>0.41399999999999998</v>
      </c>
      <c r="M72" s="8">
        <v>0.41</v>
      </c>
      <c r="N72" s="8">
        <v>185.05799999999999</v>
      </c>
      <c r="O72" s="8">
        <v>183.09200000000001</v>
      </c>
      <c r="P72" s="8">
        <v>185.042</v>
      </c>
      <c r="Q72" s="8">
        <v>183.07599999999999</v>
      </c>
      <c r="R72" s="8">
        <v>0.28299999999999997</v>
      </c>
      <c r="S72" s="8">
        <v>0.28000000000000003</v>
      </c>
      <c r="T72" s="8">
        <v>185.02500000000001</v>
      </c>
      <c r="U72" s="8">
        <v>183.06</v>
      </c>
      <c r="V72" s="11">
        <f t="shared" si="1"/>
        <v>2.5000000000005684E-2</v>
      </c>
      <c r="W72" s="12">
        <f t="shared" si="11"/>
        <v>-0.1924324324324295</v>
      </c>
      <c r="X72" s="12">
        <f t="shared" si="3"/>
        <v>-8.648648648643854E-3</v>
      </c>
      <c r="Y72" s="12">
        <f t="shared" si="4"/>
        <v>0.14397133563181827</v>
      </c>
      <c r="Z72" s="13">
        <f t="shared" si="5"/>
        <v>1.3513513513516588E-2</v>
      </c>
      <c r="AA72" s="47"/>
    </row>
    <row r="73" spans="1:27" ht="16.25" customHeight="1" x14ac:dyDescent="0.15">
      <c r="A73" s="49">
        <v>61</v>
      </c>
      <c r="B73" s="50" t="s">
        <v>80</v>
      </c>
      <c r="C73" s="57" t="s">
        <v>30</v>
      </c>
      <c r="D73" s="51" t="s">
        <v>81</v>
      </c>
      <c r="E73" s="52">
        <v>46033</v>
      </c>
      <c r="F73" s="52">
        <v>46041</v>
      </c>
      <c r="G73" s="51" t="s">
        <v>30</v>
      </c>
      <c r="H73" s="51" t="s">
        <v>30</v>
      </c>
      <c r="I73" s="6" t="s">
        <v>30</v>
      </c>
      <c r="J73" s="8">
        <v>51</v>
      </c>
      <c r="K73" s="8">
        <v>50.386000000000003</v>
      </c>
      <c r="L73" s="8" t="s">
        <v>30</v>
      </c>
      <c r="M73" s="8" t="s">
        <v>30</v>
      </c>
      <c r="N73" s="8" t="s">
        <v>30</v>
      </c>
      <c r="O73" s="8" t="s">
        <v>30</v>
      </c>
      <c r="P73" s="8" t="s">
        <v>30</v>
      </c>
      <c r="Q73" s="8" t="s">
        <v>30</v>
      </c>
      <c r="R73" s="8" t="s">
        <v>30</v>
      </c>
      <c r="S73" s="8" t="s">
        <v>30</v>
      </c>
      <c r="T73" s="8">
        <v>50.981999999999999</v>
      </c>
      <c r="U73" s="8">
        <v>50.386000000000003</v>
      </c>
      <c r="V73" s="11">
        <f t="shared" si="1"/>
        <v>-1.8000000000000682E-2</v>
      </c>
      <c r="W73" s="12" t="s">
        <v>30</v>
      </c>
      <c r="X73" s="12" t="s">
        <v>30</v>
      </c>
      <c r="Y73" s="12" t="s">
        <v>30</v>
      </c>
      <c r="Z73" s="13">
        <f t="shared" si="5"/>
        <v>-3.5294117647060162E-2</v>
      </c>
      <c r="AA73" s="47"/>
    </row>
    <row r="74" spans="1:27" ht="16.25" customHeight="1" x14ac:dyDescent="0.15">
      <c r="A74" s="49">
        <v>62</v>
      </c>
      <c r="B74" s="50" t="s">
        <v>74</v>
      </c>
      <c r="C74" s="60" t="s">
        <v>56</v>
      </c>
      <c r="D74" s="51" t="s">
        <v>37</v>
      </c>
      <c r="E74" s="52">
        <v>46022</v>
      </c>
      <c r="F74" s="52">
        <v>46023</v>
      </c>
      <c r="G74" s="51">
        <v>2566616</v>
      </c>
      <c r="H74" s="51">
        <v>2580116</v>
      </c>
      <c r="I74" s="6">
        <f t="shared" si="0"/>
        <v>13500</v>
      </c>
      <c r="J74" s="8">
        <v>135</v>
      </c>
      <c r="K74" s="8">
        <v>133.399</v>
      </c>
      <c r="L74" s="8" t="s">
        <v>30</v>
      </c>
      <c r="M74" s="8" t="s">
        <v>30</v>
      </c>
      <c r="N74" s="8">
        <v>135.02199999999999</v>
      </c>
      <c r="O74" s="8">
        <v>133.41999999999999</v>
      </c>
      <c r="P74" s="8">
        <v>135.05099999999999</v>
      </c>
      <c r="Q74" s="8">
        <v>133.44900000000001</v>
      </c>
      <c r="R74" s="8" t="s">
        <v>30</v>
      </c>
      <c r="S74" s="8" t="s">
        <v>30</v>
      </c>
      <c r="T74" s="8">
        <v>135.01499999999999</v>
      </c>
      <c r="U74" s="8">
        <v>133.41300000000001</v>
      </c>
      <c r="V74" s="11">
        <f t="shared" si="1"/>
        <v>1.4999999999986358E-2</v>
      </c>
      <c r="W74" s="12">
        <f t="shared" si="11"/>
        <v>0</v>
      </c>
      <c r="X74" s="12">
        <f t="shared" si="3"/>
        <v>2.1481481481478788E-2</v>
      </c>
      <c r="Y74" s="12">
        <f t="shared" si="4"/>
        <v>0</v>
      </c>
      <c r="Z74" s="13">
        <f t="shared" si="5"/>
        <v>1.1111111111101005E-2</v>
      </c>
      <c r="AA74" s="47"/>
    </row>
    <row r="75" spans="1:27" ht="16.25" customHeight="1" x14ac:dyDescent="0.15">
      <c r="A75" s="49">
        <v>63</v>
      </c>
      <c r="B75" s="50" t="s">
        <v>52</v>
      </c>
      <c r="C75" s="50" t="s">
        <v>51</v>
      </c>
      <c r="D75" s="51" t="s">
        <v>37</v>
      </c>
      <c r="E75" s="52">
        <v>46025</v>
      </c>
      <c r="F75" s="52">
        <v>46026</v>
      </c>
      <c r="G75" s="51">
        <v>955863</v>
      </c>
      <c r="H75" s="51">
        <v>962863</v>
      </c>
      <c r="I75" s="6">
        <f t="shared" si="0"/>
        <v>7000</v>
      </c>
      <c r="J75" s="8">
        <v>70</v>
      </c>
      <c r="K75" s="8">
        <v>69.143000000000001</v>
      </c>
      <c r="L75" s="8">
        <v>13.208</v>
      </c>
      <c r="M75" s="8">
        <v>13.045999999999999</v>
      </c>
      <c r="N75" s="8">
        <v>70</v>
      </c>
      <c r="O75" s="8">
        <v>69.143000000000001</v>
      </c>
      <c r="P75" s="54">
        <v>70.025999999999996</v>
      </c>
      <c r="Q75" s="8">
        <v>69.168000000000006</v>
      </c>
      <c r="R75" s="8">
        <v>91.89</v>
      </c>
      <c r="S75" s="8">
        <v>90.763999999999996</v>
      </c>
      <c r="T75" s="8">
        <v>69.900000000000006</v>
      </c>
      <c r="U75" s="8">
        <v>69.043999999999997</v>
      </c>
      <c r="V75" s="11">
        <f t="shared" si="1"/>
        <v>-9.9999999999994316E-2</v>
      </c>
      <c r="W75" s="12">
        <f>IFERROR((N75-L75-J75)/J75*100,0)</f>
        <v>-18.868571428571425</v>
      </c>
      <c r="X75" s="12">
        <f t="shared" si="3"/>
        <v>3.714285714285178E-2</v>
      </c>
      <c r="Y75" s="12">
        <f t="shared" si="4"/>
        <v>-419.70362239297475</v>
      </c>
      <c r="Z75" s="13">
        <f t="shared" si="5"/>
        <v>-0.14285714285713474</v>
      </c>
      <c r="AA75" s="47"/>
    </row>
    <row r="76" spans="1:27" ht="16.25" customHeight="1" x14ac:dyDescent="0.15">
      <c r="A76" s="49">
        <v>64</v>
      </c>
      <c r="B76" s="50" t="s">
        <v>53</v>
      </c>
      <c r="C76" s="50" t="s">
        <v>54</v>
      </c>
      <c r="D76" s="51" t="s">
        <v>37</v>
      </c>
      <c r="E76" s="52">
        <v>46026</v>
      </c>
      <c r="F76" s="52">
        <v>46027</v>
      </c>
      <c r="G76" s="51">
        <v>574781</v>
      </c>
      <c r="H76" s="51">
        <v>639781</v>
      </c>
      <c r="I76" s="6">
        <f t="shared" si="0"/>
        <v>65000</v>
      </c>
      <c r="J76" s="8">
        <v>650</v>
      </c>
      <c r="K76" s="8">
        <v>642.05700000000002</v>
      </c>
      <c r="L76" s="8">
        <v>9.9090000000000007</v>
      </c>
      <c r="M76" s="8">
        <v>9.7880000000000003</v>
      </c>
      <c r="N76" s="8">
        <v>650.11800000000005</v>
      </c>
      <c r="O76" s="8">
        <v>642.17399999999998</v>
      </c>
      <c r="P76" s="8">
        <v>650.07100000000003</v>
      </c>
      <c r="Q76" s="8">
        <v>642.12699999999995</v>
      </c>
      <c r="R76" s="8">
        <v>9.9090000000000007</v>
      </c>
      <c r="S76" s="8">
        <v>9.7880000000000003</v>
      </c>
      <c r="T76" s="8">
        <v>650.04999999999995</v>
      </c>
      <c r="U76" s="8">
        <v>642.10599999999999</v>
      </c>
      <c r="V76" s="11">
        <f t="shared" si="1"/>
        <v>4.9999999999954525E-2</v>
      </c>
      <c r="W76" s="12">
        <f>IFERROR((N76-L76-J76)/J76*100,0)</f>
        <v>-1.506307692307683</v>
      </c>
      <c r="X76" s="12">
        <f t="shared" si="3"/>
        <v>-7.2307692307731486E-3</v>
      </c>
      <c r="Y76" s="12">
        <f t="shared" si="4"/>
        <v>1.5446090208415868</v>
      </c>
      <c r="Z76" s="13">
        <f t="shared" si="5"/>
        <v>7.6923076923006966E-3</v>
      </c>
      <c r="AA76" s="47"/>
    </row>
    <row r="77" spans="1:27" ht="16.25" customHeight="1" x14ac:dyDescent="0.15">
      <c r="A77" s="49">
        <v>65</v>
      </c>
      <c r="B77" s="50" t="s">
        <v>55</v>
      </c>
      <c r="C77" s="50" t="s">
        <v>56</v>
      </c>
      <c r="D77" s="51" t="s">
        <v>37</v>
      </c>
      <c r="E77" s="52">
        <v>46026</v>
      </c>
      <c r="F77" s="52">
        <v>46028</v>
      </c>
      <c r="G77" s="51">
        <v>2599604</v>
      </c>
      <c r="H77" s="51">
        <v>2656604</v>
      </c>
      <c r="I77" s="6">
        <f t="shared" si="0"/>
        <v>57000</v>
      </c>
      <c r="J77" s="8">
        <v>570</v>
      </c>
      <c r="K77" s="8">
        <v>563.01900000000001</v>
      </c>
      <c r="L77" s="8" t="s">
        <v>30</v>
      </c>
      <c r="M77" s="8" t="s">
        <v>30</v>
      </c>
      <c r="N77" s="8">
        <v>570.05499999999995</v>
      </c>
      <c r="O77" s="8">
        <v>563.07299999999998</v>
      </c>
      <c r="P77" s="8">
        <v>570.08199999999999</v>
      </c>
      <c r="Q77" s="8">
        <v>563.1</v>
      </c>
      <c r="R77" s="8" t="s">
        <v>30</v>
      </c>
      <c r="S77" s="8" t="s">
        <v>30</v>
      </c>
      <c r="T77" s="8">
        <v>570.04</v>
      </c>
      <c r="U77" s="8">
        <v>563.05799999999999</v>
      </c>
      <c r="V77" s="11">
        <f t="shared" si="1"/>
        <v>3.999999999996362E-2</v>
      </c>
      <c r="W77" s="12">
        <f t="shared" ref="W77:W86" si="12">IFERROR((N77-L77-J77)/J77*100,0)</f>
        <v>0</v>
      </c>
      <c r="X77" s="12">
        <f t="shared" si="3"/>
        <v>4.736842105270817E-3</v>
      </c>
      <c r="Y77" s="12">
        <f t="shared" si="4"/>
        <v>0</v>
      </c>
      <c r="Z77" s="13">
        <f t="shared" si="5"/>
        <v>7.01754385964274E-3</v>
      </c>
      <c r="AA77" s="47"/>
    </row>
    <row r="78" spans="1:27" ht="16.25" customHeight="1" x14ac:dyDescent="0.15">
      <c r="A78" s="49">
        <v>66</v>
      </c>
      <c r="B78" s="50" t="s">
        <v>58</v>
      </c>
      <c r="C78" s="50" t="s">
        <v>59</v>
      </c>
      <c r="D78" s="51" t="s">
        <v>37</v>
      </c>
      <c r="E78" s="52">
        <v>46027</v>
      </c>
      <c r="F78" s="52">
        <v>46028</v>
      </c>
      <c r="G78" s="51">
        <v>20875487</v>
      </c>
      <c r="H78" s="51">
        <v>20883187</v>
      </c>
      <c r="I78" s="6">
        <f t="shared" si="0"/>
        <v>7700</v>
      </c>
      <c r="J78" s="8">
        <v>77</v>
      </c>
      <c r="K78" s="8">
        <v>76.057000000000002</v>
      </c>
      <c r="L78" s="8">
        <v>15.788</v>
      </c>
      <c r="M78" s="8">
        <v>15.595000000000001</v>
      </c>
      <c r="N78" s="8">
        <v>77</v>
      </c>
      <c r="O78" s="8">
        <v>76.057000000000002</v>
      </c>
      <c r="P78" s="8">
        <v>77.001999999999995</v>
      </c>
      <c r="Q78" s="8">
        <v>76.058999999999997</v>
      </c>
      <c r="R78" s="8">
        <v>15.755000000000001</v>
      </c>
      <c r="S78" s="8">
        <v>15.561999999999999</v>
      </c>
      <c r="T78" s="8">
        <v>77.073999999999998</v>
      </c>
      <c r="U78" s="8">
        <v>76.13</v>
      </c>
      <c r="V78" s="11">
        <f t="shared" si="1"/>
        <v>7.3999999999998067E-2</v>
      </c>
      <c r="W78" s="12">
        <f t="shared" si="12"/>
        <v>-20.5038961038961</v>
      </c>
      <c r="X78" s="12">
        <f t="shared" si="3"/>
        <v>2.5974025973965441E-3</v>
      </c>
      <c r="Y78" s="12">
        <f t="shared" si="4"/>
        <v>25.841265694646282</v>
      </c>
      <c r="Z78" s="13">
        <f t="shared" si="5"/>
        <v>9.6103896103893596E-2</v>
      </c>
      <c r="AA78" s="47"/>
    </row>
    <row r="79" spans="1:27" ht="16.25" customHeight="1" x14ac:dyDescent="0.15">
      <c r="A79" s="49">
        <v>67</v>
      </c>
      <c r="B79" s="50" t="s">
        <v>52</v>
      </c>
      <c r="C79" s="50" t="s">
        <v>56</v>
      </c>
      <c r="D79" s="51" t="s">
        <v>37</v>
      </c>
      <c r="E79" s="52">
        <v>46030</v>
      </c>
      <c r="F79" s="52">
        <v>46031</v>
      </c>
      <c r="G79" s="51">
        <v>2674264</v>
      </c>
      <c r="H79" s="51">
        <v>2690764</v>
      </c>
      <c r="I79" s="6">
        <f t="shared" si="0"/>
        <v>16500</v>
      </c>
      <c r="J79" s="8">
        <v>165</v>
      </c>
      <c r="K79" s="8">
        <v>162.97900000000001</v>
      </c>
      <c r="L79" s="8" t="s">
        <v>30</v>
      </c>
      <c r="M79" s="8" t="s">
        <v>30</v>
      </c>
      <c r="N79" s="8">
        <v>165</v>
      </c>
      <c r="O79" s="8">
        <v>162.97900000000001</v>
      </c>
      <c r="P79" s="8">
        <v>165.04300000000001</v>
      </c>
      <c r="Q79" s="8">
        <v>163.02099999999999</v>
      </c>
      <c r="R79" s="8" t="s">
        <v>30</v>
      </c>
      <c r="S79" s="8" t="s">
        <v>30</v>
      </c>
      <c r="T79" s="8">
        <v>164.9</v>
      </c>
      <c r="U79" s="8">
        <v>162.88</v>
      </c>
      <c r="V79" s="11">
        <f t="shared" si="1"/>
        <v>-9.9999999999994316E-2</v>
      </c>
      <c r="W79" s="12">
        <f t="shared" si="12"/>
        <v>0</v>
      </c>
      <c r="X79" s="12">
        <f t="shared" si="3"/>
        <v>2.6060606060609916E-2</v>
      </c>
      <c r="Y79" s="12">
        <f t="shared" ref="Y79:Y92" si="13">IFERROR(((T79-(P79-R79))/(P79-R79))*100,0)</f>
        <v>0</v>
      </c>
      <c r="Z79" s="13">
        <f t="shared" si="5"/>
        <v>-6.0606060606057159E-2</v>
      </c>
      <c r="AA79" s="47"/>
    </row>
    <row r="80" spans="1:27" ht="16.25" customHeight="1" x14ac:dyDescent="0.15">
      <c r="A80" s="49">
        <v>68</v>
      </c>
      <c r="B80" s="50" t="s">
        <v>68</v>
      </c>
      <c r="C80" s="50" t="s">
        <v>59</v>
      </c>
      <c r="D80" s="51" t="s">
        <v>37</v>
      </c>
      <c r="E80" s="52">
        <v>46032</v>
      </c>
      <c r="F80" s="52">
        <v>46033</v>
      </c>
      <c r="G80" s="51">
        <v>20916787</v>
      </c>
      <c r="H80" s="51">
        <v>20940987</v>
      </c>
      <c r="I80" s="6">
        <f t="shared" si="0"/>
        <v>24200</v>
      </c>
      <c r="J80" s="8">
        <v>242</v>
      </c>
      <c r="K80" s="8">
        <v>239.036</v>
      </c>
      <c r="L80" s="8">
        <v>16.998999999999999</v>
      </c>
      <c r="M80" s="8">
        <v>16.791</v>
      </c>
      <c r="N80" s="8">
        <v>242</v>
      </c>
      <c r="O80" s="8">
        <v>239.036</v>
      </c>
      <c r="P80" s="8">
        <v>242.053</v>
      </c>
      <c r="Q80" s="8">
        <v>239.08799999999999</v>
      </c>
      <c r="R80" s="8">
        <v>90.381</v>
      </c>
      <c r="S80" s="8">
        <v>89.274000000000001</v>
      </c>
      <c r="T80" s="8">
        <v>242</v>
      </c>
      <c r="U80" s="8">
        <v>239.036</v>
      </c>
      <c r="V80" s="11">
        <f t="shared" si="1"/>
        <v>0</v>
      </c>
      <c r="W80" s="12">
        <f t="shared" si="12"/>
        <v>-7.0243801652892541</v>
      </c>
      <c r="X80" s="12">
        <f t="shared" si="3"/>
        <v>2.1900826446279865E-2</v>
      </c>
      <c r="Y80" s="12">
        <f t="shared" si="13"/>
        <v>59.554828841183607</v>
      </c>
      <c r="Z80" s="13">
        <f t="shared" si="5"/>
        <v>0</v>
      </c>
      <c r="AA80" s="47"/>
    </row>
    <row r="81" spans="1:3819" ht="16.25" customHeight="1" x14ac:dyDescent="0.15">
      <c r="A81" s="49">
        <v>69</v>
      </c>
      <c r="B81" s="50" t="s">
        <v>58</v>
      </c>
      <c r="C81" s="50" t="s">
        <v>51</v>
      </c>
      <c r="D81" s="51" t="s">
        <v>37</v>
      </c>
      <c r="E81" s="52">
        <v>46032</v>
      </c>
      <c r="F81" s="52">
        <v>46033</v>
      </c>
      <c r="G81" s="51">
        <v>1025998</v>
      </c>
      <c r="H81" s="51">
        <v>1040498</v>
      </c>
      <c r="I81" s="6">
        <f t="shared" si="0"/>
        <v>14500</v>
      </c>
      <c r="J81" s="8">
        <v>145</v>
      </c>
      <c r="K81" s="8">
        <v>143.24700000000001</v>
      </c>
      <c r="L81" s="8">
        <v>36.015999999999998</v>
      </c>
      <c r="M81" s="8">
        <v>35.581000000000003</v>
      </c>
      <c r="N81" s="8">
        <v>145</v>
      </c>
      <c r="O81" s="8">
        <v>143.24700000000001</v>
      </c>
      <c r="P81" s="8">
        <v>145.035</v>
      </c>
      <c r="Q81" s="8">
        <v>143.28200000000001</v>
      </c>
      <c r="R81" s="8">
        <v>61.012</v>
      </c>
      <c r="S81" s="8">
        <v>60.274000000000001</v>
      </c>
      <c r="T81" s="8">
        <v>145.08000000000001</v>
      </c>
      <c r="U81" s="8">
        <v>143.32599999999999</v>
      </c>
      <c r="V81" s="11">
        <f t="shared" si="1"/>
        <v>8.0000000000012506E-2</v>
      </c>
      <c r="W81" s="12">
        <f t="shared" si="12"/>
        <v>-24.838620689655166</v>
      </c>
      <c r="X81" s="12">
        <f t="shared" si="3"/>
        <v>2.4137931034480406E-2</v>
      </c>
      <c r="Y81" s="12">
        <f t="shared" si="13"/>
        <v>72.667007843090602</v>
      </c>
      <c r="Z81" s="13">
        <f t="shared" si="5"/>
        <v>5.5172413793112073E-2</v>
      </c>
      <c r="AA81" s="47"/>
    </row>
    <row r="82" spans="1:3819" ht="16.25" customHeight="1" x14ac:dyDescent="0.15">
      <c r="A82" s="49">
        <v>70</v>
      </c>
      <c r="B82" s="50" t="s">
        <v>74</v>
      </c>
      <c r="C82" s="50" t="s">
        <v>51</v>
      </c>
      <c r="D82" s="51" t="s">
        <v>37</v>
      </c>
      <c r="E82" s="52">
        <v>46035</v>
      </c>
      <c r="F82" s="52">
        <v>46036</v>
      </c>
      <c r="G82" s="51">
        <v>1070600</v>
      </c>
      <c r="H82" s="51">
        <v>1086600</v>
      </c>
      <c r="I82" s="6">
        <f t="shared" si="0"/>
        <v>16000</v>
      </c>
      <c r="J82" s="8">
        <v>160</v>
      </c>
      <c r="K82" s="8">
        <v>158.06800000000001</v>
      </c>
      <c r="L82" s="8">
        <v>63.064999999999998</v>
      </c>
      <c r="M82" s="8">
        <v>62.304000000000002</v>
      </c>
      <c r="N82" s="8">
        <v>160</v>
      </c>
      <c r="O82" s="8">
        <v>158.06800000000001</v>
      </c>
      <c r="P82" s="8">
        <v>160.04</v>
      </c>
      <c r="Q82" s="8">
        <v>158.108</v>
      </c>
      <c r="R82" s="8">
        <v>37.86</v>
      </c>
      <c r="S82" s="8">
        <v>37.402999999999999</v>
      </c>
      <c r="T82" s="8">
        <v>160.01</v>
      </c>
      <c r="U82" s="8">
        <v>158.078</v>
      </c>
      <c r="V82" s="11">
        <f t="shared" si="1"/>
        <v>9.9999999999909051E-3</v>
      </c>
      <c r="W82" s="12">
        <f t="shared" si="12"/>
        <v>-39.415624999999999</v>
      </c>
      <c r="X82" s="12">
        <f t="shared" si="3"/>
        <v>2.4999999999995023E-2</v>
      </c>
      <c r="Y82" s="12">
        <f t="shared" si="13"/>
        <v>30.96251432312981</v>
      </c>
      <c r="Z82" s="13">
        <f t="shared" si="5"/>
        <v>6.2499999999943165E-3</v>
      </c>
      <c r="AA82" s="47"/>
    </row>
    <row r="83" spans="1:3819" ht="16.25" customHeight="1" x14ac:dyDescent="0.15">
      <c r="A83" s="49">
        <v>71</v>
      </c>
      <c r="B83" s="50" t="s">
        <v>50</v>
      </c>
      <c r="C83" s="50" t="s">
        <v>51</v>
      </c>
      <c r="D83" s="51" t="s">
        <v>37</v>
      </c>
      <c r="E83" s="52">
        <v>46036</v>
      </c>
      <c r="F83" s="52">
        <v>46038</v>
      </c>
      <c r="G83" s="51">
        <v>1119138</v>
      </c>
      <c r="H83" s="51">
        <v>1140738</v>
      </c>
      <c r="I83" s="6">
        <f t="shared" si="0"/>
        <v>21600</v>
      </c>
      <c r="J83" s="8">
        <v>216</v>
      </c>
      <c r="K83" s="8">
        <v>213.386</v>
      </c>
      <c r="L83" s="8">
        <v>35.978000000000002</v>
      </c>
      <c r="M83" s="8">
        <v>35.542999999999999</v>
      </c>
      <c r="N83" s="8">
        <v>216</v>
      </c>
      <c r="O83" s="8">
        <v>213.386</v>
      </c>
      <c r="P83" s="8">
        <v>216.065</v>
      </c>
      <c r="Q83" s="8">
        <v>213.45099999999999</v>
      </c>
      <c r="R83" s="8">
        <v>42.362000000000002</v>
      </c>
      <c r="S83" s="8">
        <v>41.848999999999997</v>
      </c>
      <c r="T83" s="8">
        <v>216.26499999999999</v>
      </c>
      <c r="U83" s="8">
        <v>213.648</v>
      </c>
      <c r="V83" s="11">
        <f t="shared" si="1"/>
        <v>0.26499999999998636</v>
      </c>
      <c r="W83" s="12">
        <f t="shared" si="12"/>
        <v>-16.656481481481485</v>
      </c>
      <c r="X83" s="12">
        <f t="shared" si="3"/>
        <v>3.0092592592591536E-2</v>
      </c>
      <c r="Y83" s="12">
        <f t="shared" si="13"/>
        <v>24.5027431880854</v>
      </c>
      <c r="Z83" s="13">
        <f t="shared" si="5"/>
        <v>0.12268518518517887</v>
      </c>
      <c r="AA83" s="47"/>
    </row>
    <row r="84" spans="1:3819" ht="16.25" customHeight="1" x14ac:dyDescent="0.15">
      <c r="A84" s="49">
        <v>72</v>
      </c>
      <c r="B84" s="50" t="s">
        <v>55</v>
      </c>
      <c r="C84" s="50" t="s">
        <v>56</v>
      </c>
      <c r="D84" s="51" t="s">
        <v>37</v>
      </c>
      <c r="E84" s="52">
        <v>46041</v>
      </c>
      <c r="F84" s="52">
        <v>46042</v>
      </c>
      <c r="G84" s="51">
        <v>2853932</v>
      </c>
      <c r="H84" s="51">
        <v>2911932</v>
      </c>
      <c r="I84" s="6">
        <f t="shared" si="0"/>
        <v>58000</v>
      </c>
      <c r="J84" s="8">
        <v>580</v>
      </c>
      <c r="K84" s="8">
        <v>572.98199999999997</v>
      </c>
      <c r="L84" s="8" t="s">
        <v>30</v>
      </c>
      <c r="M84" s="8" t="s">
        <v>30</v>
      </c>
      <c r="N84" s="8">
        <v>580.08299999999997</v>
      </c>
      <c r="O84" s="8">
        <v>573.06399999999996</v>
      </c>
      <c r="P84" s="8">
        <v>580.09100000000001</v>
      </c>
      <c r="Q84" s="8">
        <v>573.072</v>
      </c>
      <c r="R84" s="8" t="s">
        <v>30</v>
      </c>
      <c r="S84" s="8" t="s">
        <v>30</v>
      </c>
      <c r="T84" s="8">
        <v>580.11</v>
      </c>
      <c r="U84" s="8">
        <v>573.09100000000001</v>
      </c>
      <c r="V84" s="11">
        <f t="shared" si="1"/>
        <v>0.11000000000001364</v>
      </c>
      <c r="W84" s="12">
        <f t="shared" si="12"/>
        <v>0</v>
      </c>
      <c r="X84" s="12">
        <f t="shared" si="3"/>
        <v>1.3793103448341722E-3</v>
      </c>
      <c r="Y84" s="12">
        <f t="shared" si="13"/>
        <v>0</v>
      </c>
      <c r="Z84" s="13">
        <f t="shared" si="5"/>
        <v>1.8965517241381662E-2</v>
      </c>
      <c r="AA84" s="47"/>
    </row>
    <row r="85" spans="1:3819" ht="16.25" customHeight="1" x14ac:dyDescent="0.15">
      <c r="A85" s="49">
        <v>73</v>
      </c>
      <c r="B85" s="50" t="s">
        <v>58</v>
      </c>
      <c r="C85" s="50" t="s">
        <v>51</v>
      </c>
      <c r="D85" s="51" t="s">
        <v>37</v>
      </c>
      <c r="E85" s="52">
        <v>46042</v>
      </c>
      <c r="F85" s="52">
        <v>46043</v>
      </c>
      <c r="G85" s="51">
        <v>1167844</v>
      </c>
      <c r="H85" s="51">
        <v>1175344</v>
      </c>
      <c r="I85" s="6">
        <f t="shared" si="0"/>
        <v>7500</v>
      </c>
      <c r="J85" s="8">
        <v>75</v>
      </c>
      <c r="K85" s="8">
        <v>74.084000000000003</v>
      </c>
      <c r="L85" s="8">
        <v>15.901</v>
      </c>
      <c r="M85" s="8">
        <v>15.707000000000001</v>
      </c>
      <c r="N85" s="8">
        <v>75</v>
      </c>
      <c r="O85" s="8">
        <v>74.084000000000003</v>
      </c>
      <c r="P85" s="8">
        <v>75.037999999999997</v>
      </c>
      <c r="Q85" s="8">
        <v>74.122</v>
      </c>
      <c r="R85" s="8">
        <v>67.909000000000006</v>
      </c>
      <c r="S85" s="8">
        <v>67.08</v>
      </c>
      <c r="T85" s="8">
        <v>75.05</v>
      </c>
      <c r="U85" s="8">
        <v>74.134</v>
      </c>
      <c r="V85" s="11">
        <f t="shared" si="1"/>
        <v>4.9999999999997158E-2</v>
      </c>
      <c r="W85" s="12">
        <f t="shared" si="12"/>
        <v>-21.201333333333327</v>
      </c>
      <c r="X85" s="12">
        <f t="shared" si="3"/>
        <v>5.0666666666662273E-2</v>
      </c>
      <c r="Y85" s="12">
        <f t="shared" si="13"/>
        <v>952.74232010099718</v>
      </c>
      <c r="Z85" s="13">
        <f t="shared" si="5"/>
        <v>6.6666666666662877E-2</v>
      </c>
      <c r="AA85" s="47"/>
    </row>
    <row r="86" spans="1:3819" ht="16.25" customHeight="1" x14ac:dyDescent="0.15">
      <c r="A86" s="49">
        <v>74</v>
      </c>
      <c r="B86" s="50" t="s">
        <v>53</v>
      </c>
      <c r="C86" s="50" t="s">
        <v>56</v>
      </c>
      <c r="D86" s="51" t="s">
        <v>37</v>
      </c>
      <c r="E86" s="52">
        <v>46043</v>
      </c>
      <c r="F86" s="52">
        <v>46044</v>
      </c>
      <c r="G86" s="51">
        <v>2917170</v>
      </c>
      <c r="H86" s="51">
        <v>2951670</v>
      </c>
      <c r="I86" s="6">
        <f t="shared" si="0"/>
        <v>34500</v>
      </c>
      <c r="J86" s="8">
        <v>345</v>
      </c>
      <c r="K86" s="8">
        <v>340.78800000000001</v>
      </c>
      <c r="L86" s="8" t="s">
        <v>30</v>
      </c>
      <c r="M86" s="8" t="s">
        <v>30</v>
      </c>
      <c r="N86" s="8">
        <v>345.09800000000001</v>
      </c>
      <c r="O86" s="8">
        <v>340.88499999999999</v>
      </c>
      <c r="P86" s="8">
        <v>345.07100000000003</v>
      </c>
      <c r="Q86" s="8">
        <v>340.858</v>
      </c>
      <c r="R86" s="8" t="s">
        <v>30</v>
      </c>
      <c r="S86" s="8" t="s">
        <v>30</v>
      </c>
      <c r="T86" s="8">
        <v>345.01499999999999</v>
      </c>
      <c r="U86" s="8">
        <v>340.803</v>
      </c>
      <c r="V86" s="11">
        <f t="shared" si="1"/>
        <v>1.4999999999986358E-2</v>
      </c>
      <c r="W86" s="12">
        <f t="shared" si="12"/>
        <v>0</v>
      </c>
      <c r="X86" s="12">
        <f t="shared" si="3"/>
        <v>-7.8260869565179164E-3</v>
      </c>
      <c r="Y86" s="12">
        <f t="shared" si="13"/>
        <v>0</v>
      </c>
      <c r="Z86" s="13">
        <f t="shared" si="5"/>
        <v>4.3478260869525675E-3</v>
      </c>
      <c r="AA86" s="47"/>
    </row>
    <row r="87" spans="1:3819" ht="16.25" customHeight="1" x14ac:dyDescent="0.15">
      <c r="A87" s="49">
        <v>75</v>
      </c>
      <c r="B87" s="50" t="s">
        <v>82</v>
      </c>
      <c r="C87" s="50" t="s">
        <v>59</v>
      </c>
      <c r="D87" s="51" t="s">
        <v>37</v>
      </c>
      <c r="E87" s="52">
        <v>46036</v>
      </c>
      <c r="F87" s="52">
        <v>46046</v>
      </c>
      <c r="G87" s="51">
        <v>21014431</v>
      </c>
      <c r="H87" s="51">
        <v>21040031</v>
      </c>
      <c r="I87" s="6">
        <f t="shared" si="0"/>
        <v>25600</v>
      </c>
      <c r="J87" s="8">
        <v>256</v>
      </c>
      <c r="K87" s="8">
        <v>252.90899999999999</v>
      </c>
      <c r="L87" s="8">
        <v>20.51</v>
      </c>
      <c r="M87" s="8">
        <v>20.253</v>
      </c>
      <c r="N87" s="8">
        <v>256</v>
      </c>
      <c r="O87" s="8">
        <v>252.90899999999999</v>
      </c>
      <c r="P87" s="8">
        <v>256.04199999999997</v>
      </c>
      <c r="Q87" s="8">
        <v>252.95</v>
      </c>
      <c r="R87" s="8">
        <v>115.432</v>
      </c>
      <c r="S87" s="8">
        <v>114.038</v>
      </c>
      <c r="T87" s="8">
        <v>256.04000000000002</v>
      </c>
      <c r="U87" s="8">
        <v>252.94800000000001</v>
      </c>
      <c r="V87" s="11">
        <f t="shared" si="1"/>
        <v>4.0000000000020464E-2</v>
      </c>
      <c r="W87" s="12">
        <f>IFERROR((N87-L87-J87)/J87*100,0)</f>
        <v>-8.0117187499999964</v>
      </c>
      <c r="X87" s="12">
        <f t="shared" si="3"/>
        <v>1.6406249999989519E-2</v>
      </c>
      <c r="Y87" s="12">
        <f t="shared" si="13"/>
        <v>82.092312068842972</v>
      </c>
      <c r="Z87" s="13">
        <f t="shared" si="5"/>
        <v>1.5625000000007994E-2</v>
      </c>
      <c r="AA87" s="47"/>
    </row>
    <row r="88" spans="1:3819" ht="16.25" customHeight="1" x14ac:dyDescent="0.15">
      <c r="A88" s="49">
        <v>76</v>
      </c>
      <c r="B88" s="50" t="s">
        <v>39</v>
      </c>
      <c r="C88" s="50" t="s">
        <v>83</v>
      </c>
      <c r="D88" s="51" t="s">
        <v>37</v>
      </c>
      <c r="E88" s="59" t="s">
        <v>30</v>
      </c>
      <c r="F88" s="52">
        <v>46047</v>
      </c>
      <c r="G88" s="51">
        <v>292316</v>
      </c>
      <c r="H88" s="51">
        <v>294316</v>
      </c>
      <c r="I88" s="6">
        <f t="shared" si="0"/>
        <v>2000</v>
      </c>
      <c r="J88" s="8">
        <v>20</v>
      </c>
      <c r="K88" s="8">
        <v>19.756</v>
      </c>
      <c r="L88" s="58" t="s">
        <v>30</v>
      </c>
      <c r="M88" s="58" t="s">
        <v>30</v>
      </c>
      <c r="N88" s="8">
        <v>20</v>
      </c>
      <c r="O88" s="8">
        <v>19.756</v>
      </c>
      <c r="P88" s="8">
        <v>20.053000000000001</v>
      </c>
      <c r="Q88" s="8">
        <v>19.809000000000001</v>
      </c>
      <c r="R88" s="8">
        <v>96.406000000000006</v>
      </c>
      <c r="S88" s="8">
        <v>95.231999999999999</v>
      </c>
      <c r="T88" s="8">
        <v>20</v>
      </c>
      <c r="U88" s="8">
        <v>19.756</v>
      </c>
      <c r="V88" s="11">
        <f t="shared" si="1"/>
        <v>0</v>
      </c>
      <c r="W88" s="12">
        <f>IFERROR((N88-L88-J88)/J88*100,0)</f>
        <v>0</v>
      </c>
      <c r="X88" s="12">
        <f t="shared" si="3"/>
        <v>0.26500000000000412</v>
      </c>
      <c r="Y88" s="12">
        <f t="shared" si="13"/>
        <v>-126.19412465783924</v>
      </c>
      <c r="Z88" s="13">
        <f t="shared" si="5"/>
        <v>0</v>
      </c>
      <c r="AA88" s="47"/>
    </row>
    <row r="89" spans="1:3819" ht="16.25" customHeight="1" x14ac:dyDescent="0.15">
      <c r="A89" s="49">
        <v>77</v>
      </c>
      <c r="B89" s="50" t="s">
        <v>58</v>
      </c>
      <c r="C89" s="50" t="s">
        <v>56</v>
      </c>
      <c r="D89" s="51" t="s">
        <v>37</v>
      </c>
      <c r="E89" s="59">
        <v>46047</v>
      </c>
      <c r="F89" s="52">
        <v>46049</v>
      </c>
      <c r="G89" s="51">
        <v>2957191</v>
      </c>
      <c r="H89" s="51">
        <v>2972691</v>
      </c>
      <c r="I89" s="6">
        <f t="shared" si="0"/>
        <v>15500</v>
      </c>
      <c r="J89" s="8">
        <v>155</v>
      </c>
      <c r="K89" s="8">
        <v>153.124</v>
      </c>
      <c r="L89" s="58" t="s">
        <v>30</v>
      </c>
      <c r="M89" s="58" t="s">
        <v>30</v>
      </c>
      <c r="N89" s="8">
        <v>155</v>
      </c>
      <c r="O89" s="8">
        <v>153.124</v>
      </c>
      <c r="P89" s="8">
        <v>155.012</v>
      </c>
      <c r="Q89" s="8">
        <v>153.136</v>
      </c>
      <c r="R89" s="8" t="s">
        <v>30</v>
      </c>
      <c r="S89" s="8" t="s">
        <v>30</v>
      </c>
      <c r="T89" s="8">
        <v>155</v>
      </c>
      <c r="U89" s="8">
        <v>153.124</v>
      </c>
      <c r="V89" s="11">
        <f t="shared" si="1"/>
        <v>0</v>
      </c>
      <c r="W89" s="12">
        <f>IFERROR((N89-L89-J89)/J89*100,0)</f>
        <v>0</v>
      </c>
      <c r="X89" s="12">
        <f t="shared" si="3"/>
        <v>7.7419354838712609E-3</v>
      </c>
      <c r="Y89" s="12">
        <f t="shared" si="13"/>
        <v>0</v>
      </c>
      <c r="Z89" s="13">
        <f t="shared" si="5"/>
        <v>0</v>
      </c>
      <c r="AA89" s="47"/>
    </row>
    <row r="90" spans="1:3819" ht="16.25" customHeight="1" x14ac:dyDescent="0.15">
      <c r="A90" s="49">
        <v>78</v>
      </c>
      <c r="B90" s="50" t="s">
        <v>84</v>
      </c>
      <c r="C90" s="50" t="s">
        <v>51</v>
      </c>
      <c r="D90" s="51" t="s">
        <v>37</v>
      </c>
      <c r="E90" s="59">
        <v>46049</v>
      </c>
      <c r="F90" s="52">
        <v>46049</v>
      </c>
      <c r="G90" s="51">
        <v>1219142</v>
      </c>
      <c r="H90" s="51">
        <v>1234342</v>
      </c>
      <c r="I90" s="6">
        <f t="shared" si="0"/>
        <v>15200</v>
      </c>
      <c r="J90" s="8">
        <v>152</v>
      </c>
      <c r="K90" s="8">
        <v>150.173</v>
      </c>
      <c r="L90" s="58">
        <v>69.084999999999994</v>
      </c>
      <c r="M90" s="58">
        <v>68.254999999999995</v>
      </c>
      <c r="N90" s="8">
        <v>152</v>
      </c>
      <c r="O90" s="8">
        <v>150.173</v>
      </c>
      <c r="P90" s="8">
        <v>152.036</v>
      </c>
      <c r="Q90" s="8">
        <v>150.209</v>
      </c>
      <c r="R90" s="8">
        <v>95.061000000000007</v>
      </c>
      <c r="S90" s="8">
        <v>93.918000000000006</v>
      </c>
      <c r="T90" s="8">
        <v>152.01499999999999</v>
      </c>
      <c r="U90" s="8">
        <v>150.18799999999999</v>
      </c>
      <c r="V90" s="11">
        <f t="shared" si="1"/>
        <v>1.4999999999986358E-2</v>
      </c>
      <c r="W90" s="12">
        <f t="shared" ref="W90:W92" si="14">IFERROR((N90-L90-J90)/J90*100,0)</f>
        <v>-45.450657894736842</v>
      </c>
      <c r="X90" s="12">
        <f t="shared" si="3"/>
        <v>2.3684210526316689E-2</v>
      </c>
      <c r="Y90" s="12">
        <f t="shared" si="13"/>
        <v>166.81000438788942</v>
      </c>
      <c r="Z90" s="13">
        <f t="shared" si="5"/>
        <v>9.8684210526226047E-3</v>
      </c>
      <c r="AA90" s="47"/>
    </row>
    <row r="91" spans="1:3819" ht="16.25" customHeight="1" x14ac:dyDescent="0.15">
      <c r="A91" s="49">
        <v>79</v>
      </c>
      <c r="B91" s="50" t="s">
        <v>74</v>
      </c>
      <c r="C91" s="50" t="s">
        <v>56</v>
      </c>
      <c r="D91" s="51" t="s">
        <v>37</v>
      </c>
      <c r="E91" s="59">
        <v>46049</v>
      </c>
      <c r="F91" s="52">
        <v>46050</v>
      </c>
      <c r="G91" s="51">
        <v>2972704</v>
      </c>
      <c r="H91" s="51">
        <v>2986904</v>
      </c>
      <c r="I91" s="6">
        <f t="shared" si="0"/>
        <v>14200</v>
      </c>
      <c r="J91" s="8">
        <v>142</v>
      </c>
      <c r="K91" s="8">
        <v>140.29300000000001</v>
      </c>
      <c r="L91" s="58" t="s">
        <v>30</v>
      </c>
      <c r="M91" s="58" t="s">
        <v>30</v>
      </c>
      <c r="N91" s="8">
        <v>142.05799999999999</v>
      </c>
      <c r="O91" s="8">
        <v>140.35</v>
      </c>
      <c r="P91" s="8">
        <v>142.029</v>
      </c>
      <c r="Q91" s="8">
        <v>140.322</v>
      </c>
      <c r="R91" s="8" t="s">
        <v>30</v>
      </c>
      <c r="S91" s="8" t="s">
        <v>30</v>
      </c>
      <c r="T91" s="8">
        <v>142.03</v>
      </c>
      <c r="U91" s="8">
        <v>140.32300000000001</v>
      </c>
      <c r="V91" s="11">
        <f t="shared" si="1"/>
        <v>3.0000000000001137E-2</v>
      </c>
      <c r="W91" s="12">
        <f t="shared" si="14"/>
        <v>0</v>
      </c>
      <c r="X91" s="12">
        <f t="shared" si="3"/>
        <v>-2.0422535211265046E-2</v>
      </c>
      <c r="Y91" s="12">
        <f t="shared" si="13"/>
        <v>0</v>
      </c>
      <c r="Z91" s="13">
        <f t="shared" si="5"/>
        <v>2.1126760563381083E-2</v>
      </c>
      <c r="AA91" s="47"/>
    </row>
    <row r="92" spans="1:3819" ht="16.25" customHeight="1" x14ac:dyDescent="0.15">
      <c r="A92" s="49">
        <v>80</v>
      </c>
      <c r="B92" s="50" t="s">
        <v>53</v>
      </c>
      <c r="C92" s="50" t="s">
        <v>56</v>
      </c>
      <c r="D92" s="51" t="s">
        <v>37</v>
      </c>
      <c r="E92" s="59">
        <v>46052</v>
      </c>
      <c r="F92" s="52">
        <v>46052</v>
      </c>
      <c r="G92" s="51">
        <v>2989779</v>
      </c>
      <c r="H92" s="51">
        <v>3049779</v>
      </c>
      <c r="I92" s="6">
        <f t="shared" si="0"/>
        <v>60000</v>
      </c>
      <c r="J92" s="8">
        <v>600</v>
      </c>
      <c r="K92" s="8">
        <v>592.78800000000001</v>
      </c>
      <c r="L92" s="58" t="s">
        <v>30</v>
      </c>
      <c r="M92" s="58" t="s">
        <v>30</v>
      </c>
      <c r="N92" s="8">
        <v>600.077</v>
      </c>
      <c r="O92" s="8">
        <v>592.86400000000003</v>
      </c>
      <c r="P92" s="8">
        <v>600.077</v>
      </c>
      <c r="Q92" s="8">
        <v>592.86400000000003</v>
      </c>
      <c r="R92" s="8" t="s">
        <v>30</v>
      </c>
      <c r="S92" s="8" t="s">
        <v>30</v>
      </c>
      <c r="T92" s="8">
        <v>600.02300000000002</v>
      </c>
      <c r="U92" s="8">
        <v>592.81100000000004</v>
      </c>
      <c r="V92" s="11">
        <f t="shared" si="1"/>
        <v>2.3000000000024556E-2</v>
      </c>
      <c r="W92" s="12">
        <f t="shared" si="14"/>
        <v>0</v>
      </c>
      <c r="X92" s="12">
        <f t="shared" si="3"/>
        <v>0</v>
      </c>
      <c r="Y92" s="12">
        <f t="shared" si="13"/>
        <v>0</v>
      </c>
      <c r="Z92" s="13">
        <f t="shared" si="5"/>
        <v>3.8333333333374262E-3</v>
      </c>
      <c r="AA92" s="47"/>
    </row>
    <row r="93" spans="1:3819" ht="16.25" customHeight="1" x14ac:dyDescent="0.15">
      <c r="A93" s="49"/>
      <c r="B93" s="50"/>
      <c r="C93" s="50"/>
      <c r="D93" s="51"/>
      <c r="E93" s="59"/>
      <c r="F93" s="52"/>
      <c r="G93" s="51"/>
      <c r="H93" s="51"/>
      <c r="I93" s="6"/>
      <c r="J93" s="8"/>
      <c r="K93" s="8"/>
      <c r="L93" s="58"/>
      <c r="M93" s="58"/>
      <c r="N93" s="8"/>
      <c r="O93" s="8"/>
      <c r="P93" s="8"/>
      <c r="Q93" s="8"/>
      <c r="R93" s="8"/>
      <c r="S93" s="8"/>
      <c r="T93" s="8"/>
      <c r="U93" s="8"/>
      <c r="V93" s="11"/>
      <c r="W93" s="12"/>
      <c r="X93" s="12"/>
      <c r="Y93" s="12"/>
      <c r="Z93" s="13"/>
      <c r="AA93" s="47"/>
    </row>
    <row r="94" spans="1:3819" x14ac:dyDescent="0.15">
      <c r="A94" s="3"/>
      <c r="B94" s="4"/>
      <c r="C94" s="5"/>
      <c r="D94" s="6"/>
      <c r="E94" s="7"/>
      <c r="F94" s="7"/>
      <c r="G94" s="6"/>
      <c r="H94" s="6"/>
      <c r="I94" s="6"/>
      <c r="J94" s="8"/>
      <c r="K94" s="10"/>
      <c r="L94" s="9"/>
      <c r="M94" s="9"/>
      <c r="N94" s="9"/>
      <c r="O94" s="9"/>
      <c r="P94" s="9"/>
      <c r="Q94" s="9"/>
      <c r="R94" s="9"/>
      <c r="S94" s="9"/>
      <c r="T94" s="10"/>
      <c r="U94" s="10"/>
      <c r="V94" s="11"/>
      <c r="W94" s="12"/>
      <c r="X94" s="12"/>
      <c r="Y94" s="12"/>
      <c r="Z94" s="13"/>
    </row>
    <row r="95" spans="1:3819" ht="15" customHeight="1" x14ac:dyDescent="0.15">
      <c r="A95" s="15" t="str">
        <f>A7</f>
        <v>PERIODE 01 - 31 Januari 2026</v>
      </c>
      <c r="B95" s="16"/>
      <c r="C95" s="16"/>
      <c r="D95" s="16"/>
      <c r="E95" s="16"/>
      <c r="F95" s="16"/>
      <c r="G95" s="16"/>
      <c r="H95" s="16"/>
      <c r="I95" s="6"/>
      <c r="J95" s="16"/>
      <c r="K95" s="16"/>
      <c r="L95" s="16"/>
      <c r="M95" s="16"/>
      <c r="N95" s="16"/>
      <c r="O95" s="16"/>
      <c r="P95" s="16"/>
      <c r="Q95" s="16"/>
      <c r="R95" s="17"/>
      <c r="S95" s="17"/>
      <c r="T95" s="16"/>
      <c r="U95" s="16"/>
      <c r="V95" s="11"/>
      <c r="W95" s="12"/>
      <c r="X95" s="12"/>
      <c r="Y95" s="12"/>
      <c r="Z95" s="13"/>
    </row>
    <row r="96" spans="1:3819" s="48" customFormat="1" ht="15" customHeight="1" thickBot="1" x14ac:dyDescent="0.2">
      <c r="A96" s="63" t="s">
        <v>89</v>
      </c>
      <c r="B96" s="64"/>
      <c r="C96" s="64"/>
      <c r="D96" s="64"/>
      <c r="E96" s="64"/>
      <c r="F96" s="65"/>
      <c r="G96" s="42"/>
      <c r="H96" s="42"/>
      <c r="I96" s="42"/>
      <c r="J96" s="43">
        <f>SUM(J13:J94)</f>
        <v>16842.739999999998</v>
      </c>
      <c r="K96" s="43">
        <f t="shared" ref="K96:V96" si="15">SUM(K13:K92)</f>
        <v>16643.165000000005</v>
      </c>
      <c r="L96" s="43">
        <f t="shared" si="15"/>
        <v>298.31700000000001</v>
      </c>
      <c r="M96" s="43">
        <f t="shared" si="15"/>
        <v>294.7</v>
      </c>
      <c r="N96" s="43">
        <f t="shared" si="15"/>
        <v>15155.834000000001</v>
      </c>
      <c r="O96" s="43">
        <f t="shared" si="15"/>
        <v>14904.368000000002</v>
      </c>
      <c r="P96" s="43">
        <f t="shared" si="15"/>
        <v>15156.918</v>
      </c>
      <c r="Q96" s="43">
        <f t="shared" si="15"/>
        <v>14975.730999999998</v>
      </c>
      <c r="R96" s="43">
        <f t="shared" si="15"/>
        <v>725.28599999999994</v>
      </c>
      <c r="S96" s="43">
        <f t="shared" si="15"/>
        <v>716.47699999999998</v>
      </c>
      <c r="T96" s="43">
        <f t="shared" si="15"/>
        <v>16844.557999999997</v>
      </c>
      <c r="U96" s="43">
        <f t="shared" si="15"/>
        <v>16644.513999999999</v>
      </c>
      <c r="V96" s="43">
        <f t="shared" si="15"/>
        <v>1.8179999999999357</v>
      </c>
      <c r="W96" s="18"/>
      <c r="X96" s="18"/>
      <c r="Y96" s="18"/>
      <c r="Z96" s="19">
        <f>IFERROR((V96/J96)*100,0)</f>
        <v>1.0793968202322994E-2</v>
      </c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4"/>
      <c r="KQ96" s="14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  <c r="LZ96" s="14"/>
      <c r="MA96" s="14"/>
      <c r="MB96" s="14"/>
      <c r="MC96" s="14"/>
      <c r="MD96" s="14"/>
      <c r="ME96" s="14"/>
      <c r="MF96" s="14"/>
      <c r="MG96" s="14"/>
      <c r="MH96" s="14"/>
      <c r="MI96" s="14"/>
      <c r="MJ96" s="14"/>
      <c r="MK96" s="14"/>
      <c r="ML96" s="14"/>
      <c r="MM96" s="14"/>
      <c r="MN96" s="14"/>
      <c r="MO96" s="14"/>
      <c r="MP96" s="14"/>
      <c r="MQ96" s="14"/>
      <c r="MR96" s="14"/>
      <c r="MS96" s="14"/>
      <c r="MT96" s="14"/>
      <c r="MU96" s="14"/>
      <c r="MV96" s="14"/>
      <c r="MW96" s="14"/>
      <c r="MX96" s="14"/>
      <c r="MY96" s="14"/>
      <c r="MZ96" s="14"/>
      <c r="NA96" s="14"/>
      <c r="NB96" s="14"/>
      <c r="NC96" s="14"/>
      <c r="ND96" s="14"/>
      <c r="NE96" s="14"/>
      <c r="NF96" s="14"/>
      <c r="NG96" s="14"/>
      <c r="NH96" s="14"/>
      <c r="NI96" s="14"/>
      <c r="NJ96" s="14"/>
      <c r="NK96" s="14"/>
      <c r="NL96" s="14"/>
      <c r="NM96" s="14"/>
      <c r="NN96" s="14"/>
      <c r="NO96" s="14"/>
      <c r="NP96" s="14"/>
      <c r="NQ96" s="14"/>
      <c r="NR96" s="14"/>
      <c r="NS96" s="14"/>
      <c r="NT96" s="14"/>
      <c r="NU96" s="14"/>
      <c r="NV96" s="14"/>
      <c r="NW96" s="14"/>
      <c r="NX96" s="14"/>
      <c r="NY96" s="14"/>
      <c r="NZ96" s="14"/>
      <c r="OA96" s="14"/>
      <c r="OB96" s="14"/>
      <c r="OC96" s="14"/>
      <c r="OD96" s="14"/>
      <c r="OE96" s="14"/>
      <c r="OF96" s="14"/>
      <c r="OG96" s="14"/>
      <c r="OH96" s="14"/>
      <c r="OI96" s="14"/>
      <c r="OJ96" s="14"/>
      <c r="OK96" s="14"/>
      <c r="OL96" s="14"/>
      <c r="OM96" s="14"/>
      <c r="ON96" s="14"/>
      <c r="OO96" s="14"/>
      <c r="OP96" s="14"/>
      <c r="OQ96" s="14"/>
      <c r="OR96" s="14"/>
      <c r="OS96" s="14"/>
      <c r="OT96" s="14"/>
      <c r="OU96" s="14"/>
      <c r="OV96" s="14"/>
      <c r="OW96" s="14"/>
      <c r="OX96" s="14"/>
      <c r="OY96" s="14"/>
      <c r="OZ96" s="14"/>
      <c r="PA96" s="14"/>
      <c r="PB96" s="14"/>
      <c r="PC96" s="14"/>
      <c r="PD96" s="14"/>
      <c r="PE96" s="14"/>
      <c r="PF96" s="14"/>
      <c r="PG96" s="14"/>
      <c r="PH96" s="14"/>
      <c r="PI96" s="14"/>
      <c r="PJ96" s="14"/>
      <c r="PK96" s="14"/>
      <c r="PL96" s="14"/>
      <c r="PM96" s="14"/>
      <c r="PN96" s="14"/>
      <c r="PO96" s="14"/>
      <c r="PP96" s="14"/>
      <c r="PQ96" s="14"/>
      <c r="PR96" s="14"/>
      <c r="PS96" s="14"/>
      <c r="PT96" s="14"/>
      <c r="PU96" s="14"/>
      <c r="PV96" s="14"/>
      <c r="PW96" s="14"/>
      <c r="PX96" s="14"/>
      <c r="PY96" s="14"/>
      <c r="PZ96" s="14"/>
      <c r="QA96" s="14"/>
      <c r="QB96" s="14"/>
      <c r="QC96" s="14"/>
      <c r="QD96" s="14"/>
      <c r="QE96" s="14"/>
      <c r="QF96" s="14"/>
      <c r="QG96" s="14"/>
      <c r="QH96" s="14"/>
      <c r="QI96" s="14"/>
      <c r="QJ96" s="14"/>
      <c r="QK96" s="14"/>
      <c r="QL96" s="14"/>
      <c r="QM96" s="14"/>
      <c r="QN96" s="14"/>
      <c r="QO96" s="14"/>
      <c r="QP96" s="14"/>
      <c r="QQ96" s="14"/>
      <c r="QR96" s="14"/>
      <c r="QS96" s="14"/>
      <c r="QT96" s="14"/>
      <c r="QU96" s="14"/>
      <c r="QV96" s="14"/>
      <c r="QW96" s="14"/>
      <c r="QX96" s="14"/>
      <c r="QY96" s="14"/>
      <c r="QZ96" s="14"/>
      <c r="RA96" s="14"/>
      <c r="RB96" s="14"/>
      <c r="RC96" s="14"/>
      <c r="RD96" s="14"/>
      <c r="RE96" s="14"/>
      <c r="RF96" s="14"/>
      <c r="RG96" s="14"/>
      <c r="RH96" s="14"/>
      <c r="RI96" s="14"/>
      <c r="RJ96" s="14"/>
      <c r="RK96" s="14"/>
      <c r="RL96" s="14"/>
      <c r="RM96" s="14"/>
      <c r="RN96" s="14"/>
      <c r="RO96" s="14"/>
      <c r="RP96" s="14"/>
      <c r="RQ96" s="14"/>
      <c r="RR96" s="14"/>
      <c r="RS96" s="14"/>
      <c r="RT96" s="14"/>
      <c r="RU96" s="14"/>
      <c r="RV96" s="14"/>
      <c r="RW96" s="14"/>
      <c r="RX96" s="14"/>
      <c r="RY96" s="14"/>
      <c r="RZ96" s="14"/>
      <c r="SA96" s="14"/>
      <c r="SB96" s="14"/>
      <c r="SC96" s="14"/>
      <c r="SD96" s="14"/>
      <c r="SE96" s="14"/>
      <c r="SF96" s="14"/>
      <c r="SG96" s="14"/>
      <c r="SH96" s="14"/>
      <c r="SI96" s="14"/>
      <c r="SJ96" s="14"/>
      <c r="SK96" s="14"/>
      <c r="SL96" s="14"/>
      <c r="SM96" s="14"/>
      <c r="SN96" s="14"/>
      <c r="SO96" s="14"/>
      <c r="SP96" s="14"/>
      <c r="SQ96" s="14"/>
      <c r="SR96" s="14"/>
      <c r="SS96" s="14"/>
      <c r="ST96" s="14"/>
      <c r="SU96" s="14"/>
      <c r="SV96" s="14"/>
      <c r="SW96" s="14"/>
      <c r="SX96" s="14"/>
      <c r="SY96" s="14"/>
      <c r="SZ96" s="14"/>
      <c r="TA96" s="14"/>
      <c r="TB96" s="14"/>
      <c r="TC96" s="14"/>
      <c r="TD96" s="14"/>
      <c r="TE96" s="14"/>
      <c r="TF96" s="14"/>
      <c r="TG96" s="14"/>
      <c r="TH96" s="14"/>
      <c r="TI96" s="14"/>
      <c r="TJ96" s="14"/>
      <c r="TK96" s="14"/>
      <c r="TL96" s="14"/>
      <c r="TM96" s="14"/>
      <c r="TN96" s="14"/>
      <c r="TO96" s="14"/>
      <c r="TP96" s="14"/>
      <c r="TQ96" s="14"/>
      <c r="TR96" s="14"/>
      <c r="TS96" s="14"/>
      <c r="TT96" s="14"/>
      <c r="TU96" s="14"/>
      <c r="TV96" s="14"/>
      <c r="TW96" s="14"/>
      <c r="TX96" s="14"/>
      <c r="TY96" s="14"/>
      <c r="TZ96" s="14"/>
      <c r="UA96" s="14"/>
      <c r="UB96" s="14"/>
      <c r="UC96" s="14"/>
      <c r="UD96" s="14"/>
      <c r="UE96" s="14"/>
      <c r="UF96" s="14"/>
      <c r="UG96" s="14"/>
      <c r="UH96" s="14"/>
      <c r="UI96" s="14"/>
      <c r="UJ96" s="14"/>
      <c r="UK96" s="14"/>
      <c r="UL96" s="14"/>
      <c r="UM96" s="14"/>
      <c r="UN96" s="14"/>
      <c r="UO96" s="14"/>
      <c r="UP96" s="14"/>
      <c r="UQ96" s="14"/>
      <c r="UR96" s="14"/>
      <c r="US96" s="14"/>
      <c r="UT96" s="14"/>
      <c r="UU96" s="14"/>
      <c r="UV96" s="14"/>
      <c r="UW96" s="14"/>
      <c r="UX96" s="14"/>
      <c r="UY96" s="14"/>
      <c r="UZ96" s="14"/>
      <c r="VA96" s="14"/>
      <c r="VB96" s="14"/>
      <c r="VC96" s="14"/>
      <c r="VD96" s="14"/>
      <c r="VE96" s="14"/>
      <c r="VF96" s="14"/>
      <c r="VG96" s="14"/>
      <c r="VH96" s="14"/>
      <c r="VI96" s="14"/>
      <c r="VJ96" s="14"/>
      <c r="VK96" s="14"/>
      <c r="VL96" s="14"/>
      <c r="VM96" s="14"/>
      <c r="VN96" s="14"/>
      <c r="VO96" s="14"/>
      <c r="VP96" s="14"/>
      <c r="VQ96" s="14"/>
      <c r="VR96" s="14"/>
      <c r="VS96" s="14"/>
      <c r="VT96" s="14"/>
      <c r="VU96" s="14"/>
      <c r="VV96" s="14"/>
      <c r="VW96" s="14"/>
      <c r="VX96" s="14"/>
      <c r="VY96" s="14"/>
      <c r="VZ96" s="14"/>
      <c r="WA96" s="14"/>
      <c r="WB96" s="14"/>
      <c r="WC96" s="14"/>
      <c r="WD96" s="14"/>
      <c r="WE96" s="14"/>
      <c r="WF96" s="14"/>
      <c r="WG96" s="14"/>
      <c r="WH96" s="14"/>
      <c r="WI96" s="14"/>
      <c r="WJ96" s="14"/>
      <c r="WK96" s="14"/>
      <c r="WL96" s="14"/>
      <c r="WM96" s="14"/>
      <c r="WN96" s="14"/>
      <c r="WO96" s="14"/>
      <c r="WP96" s="14"/>
      <c r="WQ96" s="14"/>
      <c r="WR96" s="14"/>
      <c r="WS96" s="14"/>
      <c r="WT96" s="14"/>
      <c r="WU96" s="14"/>
      <c r="WV96" s="14"/>
      <c r="WW96" s="14"/>
      <c r="WX96" s="14"/>
      <c r="WY96" s="14"/>
      <c r="WZ96" s="14"/>
      <c r="XA96" s="14"/>
      <c r="XB96" s="14"/>
      <c r="XC96" s="14"/>
      <c r="XD96" s="14"/>
      <c r="XE96" s="14"/>
      <c r="XF96" s="14"/>
      <c r="XG96" s="14"/>
      <c r="XH96" s="14"/>
      <c r="XI96" s="14"/>
      <c r="XJ96" s="14"/>
      <c r="XK96" s="14"/>
      <c r="XL96" s="14"/>
      <c r="XM96" s="14"/>
      <c r="XN96" s="14"/>
      <c r="XO96" s="14"/>
      <c r="XP96" s="14"/>
      <c r="XQ96" s="14"/>
      <c r="XR96" s="14"/>
      <c r="XS96" s="14"/>
      <c r="XT96" s="14"/>
      <c r="XU96" s="14"/>
      <c r="XV96" s="14"/>
      <c r="XW96" s="14"/>
      <c r="XX96" s="14"/>
      <c r="XY96" s="14"/>
      <c r="XZ96" s="14"/>
      <c r="YA96" s="14"/>
      <c r="YB96" s="14"/>
      <c r="YC96" s="14"/>
      <c r="YD96" s="14"/>
      <c r="YE96" s="14"/>
      <c r="YF96" s="14"/>
      <c r="YG96" s="14"/>
      <c r="YH96" s="14"/>
      <c r="YI96" s="14"/>
      <c r="YJ96" s="14"/>
      <c r="YK96" s="14"/>
      <c r="YL96" s="14"/>
      <c r="YM96" s="14"/>
      <c r="YN96" s="14"/>
      <c r="YO96" s="14"/>
      <c r="YP96" s="14"/>
      <c r="YQ96" s="14"/>
      <c r="YR96" s="14"/>
      <c r="YS96" s="14"/>
      <c r="YT96" s="14"/>
      <c r="YU96" s="14"/>
      <c r="YV96" s="14"/>
      <c r="YW96" s="14"/>
      <c r="YX96" s="14"/>
      <c r="YY96" s="14"/>
      <c r="YZ96" s="14"/>
      <c r="ZA96" s="14"/>
      <c r="ZB96" s="14"/>
      <c r="ZC96" s="14"/>
      <c r="ZD96" s="14"/>
      <c r="ZE96" s="14"/>
      <c r="ZF96" s="14"/>
      <c r="ZG96" s="14"/>
      <c r="ZH96" s="14"/>
      <c r="ZI96" s="14"/>
      <c r="ZJ96" s="14"/>
      <c r="ZK96" s="14"/>
      <c r="ZL96" s="14"/>
      <c r="ZM96" s="14"/>
      <c r="ZN96" s="14"/>
      <c r="ZO96" s="14"/>
      <c r="ZP96" s="14"/>
      <c r="ZQ96" s="14"/>
      <c r="ZR96" s="14"/>
      <c r="ZS96" s="14"/>
      <c r="ZT96" s="14"/>
      <c r="ZU96" s="14"/>
      <c r="ZV96" s="14"/>
      <c r="ZW96" s="14"/>
      <c r="ZX96" s="14"/>
      <c r="ZY96" s="14"/>
      <c r="ZZ96" s="14"/>
      <c r="AAA96" s="14"/>
      <c r="AAB96" s="14"/>
      <c r="AAC96" s="14"/>
      <c r="AAD96" s="14"/>
      <c r="AAE96" s="14"/>
      <c r="AAF96" s="14"/>
      <c r="AAG96" s="14"/>
      <c r="AAH96" s="14"/>
      <c r="AAI96" s="14"/>
      <c r="AAJ96" s="14"/>
      <c r="AAK96" s="14"/>
      <c r="AAL96" s="14"/>
      <c r="AAM96" s="14"/>
      <c r="AAN96" s="14"/>
      <c r="AAO96" s="14"/>
      <c r="AAP96" s="14"/>
      <c r="AAQ96" s="14"/>
      <c r="AAR96" s="14"/>
      <c r="AAS96" s="14"/>
      <c r="AAT96" s="14"/>
      <c r="AAU96" s="14"/>
      <c r="AAV96" s="14"/>
      <c r="AAW96" s="14"/>
      <c r="AAX96" s="14"/>
      <c r="AAY96" s="14"/>
      <c r="AAZ96" s="14"/>
      <c r="ABA96" s="14"/>
      <c r="ABB96" s="14"/>
      <c r="ABC96" s="14"/>
      <c r="ABD96" s="14"/>
      <c r="ABE96" s="14"/>
      <c r="ABF96" s="14"/>
      <c r="ABG96" s="14"/>
      <c r="ABH96" s="14"/>
      <c r="ABI96" s="14"/>
      <c r="ABJ96" s="14"/>
      <c r="ABK96" s="14"/>
      <c r="ABL96" s="14"/>
      <c r="ABM96" s="14"/>
      <c r="ABN96" s="14"/>
      <c r="ABO96" s="14"/>
      <c r="ABP96" s="14"/>
      <c r="ABQ96" s="14"/>
      <c r="ABR96" s="14"/>
      <c r="ABS96" s="14"/>
      <c r="ABT96" s="14"/>
      <c r="ABU96" s="14"/>
      <c r="ABV96" s="14"/>
      <c r="ABW96" s="14"/>
      <c r="ABX96" s="14"/>
      <c r="ABY96" s="14"/>
      <c r="ABZ96" s="14"/>
      <c r="ACA96" s="14"/>
      <c r="ACB96" s="14"/>
      <c r="ACC96" s="14"/>
      <c r="ACD96" s="14"/>
      <c r="ACE96" s="14"/>
      <c r="ACF96" s="14"/>
      <c r="ACG96" s="14"/>
      <c r="ACH96" s="14"/>
      <c r="ACI96" s="14"/>
      <c r="ACJ96" s="14"/>
      <c r="ACK96" s="14"/>
      <c r="ACL96" s="14"/>
      <c r="ACM96" s="14"/>
      <c r="ACN96" s="14"/>
      <c r="ACO96" s="14"/>
      <c r="ACP96" s="14"/>
      <c r="ACQ96" s="14"/>
      <c r="ACR96" s="14"/>
      <c r="ACS96" s="14"/>
      <c r="ACT96" s="14"/>
      <c r="ACU96" s="14"/>
      <c r="ACV96" s="14"/>
      <c r="ACW96" s="14"/>
      <c r="ACX96" s="14"/>
      <c r="ACY96" s="14"/>
      <c r="ACZ96" s="14"/>
      <c r="ADA96" s="14"/>
      <c r="ADB96" s="14"/>
      <c r="ADC96" s="14"/>
      <c r="ADD96" s="14"/>
      <c r="ADE96" s="14"/>
      <c r="ADF96" s="14"/>
      <c r="ADG96" s="14"/>
      <c r="ADH96" s="14"/>
      <c r="ADI96" s="14"/>
      <c r="ADJ96" s="14"/>
      <c r="ADK96" s="14"/>
      <c r="ADL96" s="14"/>
      <c r="ADM96" s="14"/>
      <c r="ADN96" s="14"/>
      <c r="ADO96" s="14"/>
      <c r="ADP96" s="14"/>
      <c r="ADQ96" s="14"/>
      <c r="ADR96" s="14"/>
      <c r="ADS96" s="14"/>
      <c r="ADT96" s="14"/>
      <c r="ADU96" s="14"/>
      <c r="ADV96" s="14"/>
      <c r="ADW96" s="14"/>
      <c r="ADX96" s="14"/>
      <c r="ADY96" s="14"/>
      <c r="ADZ96" s="14"/>
      <c r="AEA96" s="14"/>
      <c r="AEB96" s="14"/>
      <c r="AEC96" s="14"/>
      <c r="AED96" s="14"/>
      <c r="AEE96" s="14"/>
      <c r="AEF96" s="14"/>
      <c r="AEG96" s="14"/>
      <c r="AEH96" s="14"/>
      <c r="AEI96" s="14"/>
      <c r="AEJ96" s="14"/>
      <c r="AEK96" s="14"/>
      <c r="AEL96" s="14"/>
      <c r="AEM96" s="14"/>
      <c r="AEN96" s="14"/>
      <c r="AEO96" s="14"/>
      <c r="AEP96" s="14"/>
      <c r="AEQ96" s="14"/>
      <c r="AER96" s="14"/>
      <c r="AES96" s="14"/>
      <c r="AET96" s="14"/>
      <c r="AEU96" s="14"/>
      <c r="AEV96" s="14"/>
      <c r="AEW96" s="14"/>
      <c r="AEX96" s="14"/>
      <c r="AEY96" s="14"/>
      <c r="AEZ96" s="14"/>
      <c r="AFA96" s="14"/>
      <c r="AFB96" s="14"/>
      <c r="AFC96" s="14"/>
      <c r="AFD96" s="14"/>
      <c r="AFE96" s="14"/>
      <c r="AFF96" s="14"/>
      <c r="AFG96" s="14"/>
      <c r="AFH96" s="14"/>
      <c r="AFI96" s="14"/>
      <c r="AFJ96" s="14"/>
      <c r="AFK96" s="14"/>
      <c r="AFL96" s="14"/>
      <c r="AFM96" s="14"/>
      <c r="AFN96" s="14"/>
      <c r="AFO96" s="14"/>
      <c r="AFP96" s="14"/>
      <c r="AFQ96" s="14"/>
      <c r="AFR96" s="14"/>
      <c r="AFS96" s="14"/>
      <c r="AFT96" s="14"/>
      <c r="AFU96" s="14"/>
      <c r="AFV96" s="14"/>
      <c r="AFW96" s="14"/>
      <c r="AFX96" s="14"/>
      <c r="AFY96" s="14"/>
      <c r="AFZ96" s="14"/>
      <c r="AGA96" s="14"/>
      <c r="AGB96" s="14"/>
      <c r="AGC96" s="14"/>
      <c r="AGD96" s="14"/>
      <c r="AGE96" s="14"/>
      <c r="AGF96" s="14"/>
      <c r="AGG96" s="14"/>
      <c r="AGH96" s="14"/>
      <c r="AGI96" s="14"/>
      <c r="AGJ96" s="14"/>
      <c r="AGK96" s="14"/>
      <c r="AGL96" s="14"/>
      <c r="AGM96" s="14"/>
      <c r="AGN96" s="14"/>
      <c r="AGO96" s="14"/>
      <c r="AGP96" s="14"/>
      <c r="AGQ96" s="14"/>
      <c r="AGR96" s="14"/>
      <c r="AGS96" s="14"/>
      <c r="AGT96" s="14"/>
      <c r="AGU96" s="14"/>
      <c r="AGV96" s="14"/>
      <c r="AGW96" s="14"/>
      <c r="AGX96" s="14"/>
      <c r="AGY96" s="14"/>
      <c r="AGZ96" s="14"/>
      <c r="AHA96" s="14"/>
      <c r="AHB96" s="14"/>
      <c r="AHC96" s="14"/>
      <c r="AHD96" s="14"/>
      <c r="AHE96" s="14"/>
      <c r="AHF96" s="14"/>
      <c r="AHG96" s="14"/>
      <c r="AHH96" s="14"/>
      <c r="AHI96" s="14"/>
      <c r="AHJ96" s="14"/>
      <c r="AHK96" s="14"/>
      <c r="AHL96" s="14"/>
      <c r="AHM96" s="14"/>
      <c r="AHN96" s="14"/>
      <c r="AHO96" s="14"/>
      <c r="AHP96" s="14"/>
      <c r="AHQ96" s="14"/>
      <c r="AHR96" s="14"/>
      <c r="AHS96" s="14"/>
      <c r="AHT96" s="14"/>
      <c r="AHU96" s="14"/>
      <c r="AHV96" s="14"/>
      <c r="AHW96" s="14"/>
      <c r="AHX96" s="14"/>
      <c r="AHY96" s="14"/>
      <c r="AHZ96" s="14"/>
      <c r="AIA96" s="14"/>
      <c r="AIB96" s="14"/>
      <c r="AIC96" s="14"/>
      <c r="AID96" s="14"/>
      <c r="AIE96" s="14"/>
      <c r="AIF96" s="14"/>
      <c r="AIG96" s="14"/>
      <c r="AIH96" s="14"/>
      <c r="AII96" s="14"/>
      <c r="AIJ96" s="14"/>
      <c r="AIK96" s="14"/>
      <c r="AIL96" s="14"/>
      <c r="AIM96" s="14"/>
      <c r="AIN96" s="14"/>
      <c r="AIO96" s="14"/>
      <c r="AIP96" s="14"/>
      <c r="AIQ96" s="14"/>
      <c r="AIR96" s="14"/>
      <c r="AIS96" s="14"/>
      <c r="AIT96" s="14"/>
      <c r="AIU96" s="14"/>
      <c r="AIV96" s="14"/>
      <c r="AIW96" s="14"/>
      <c r="AIX96" s="14"/>
      <c r="AIY96" s="14"/>
      <c r="AIZ96" s="14"/>
      <c r="AJA96" s="14"/>
      <c r="AJB96" s="14"/>
      <c r="AJC96" s="14"/>
      <c r="AJD96" s="14"/>
      <c r="AJE96" s="14"/>
      <c r="AJF96" s="14"/>
      <c r="AJG96" s="14"/>
      <c r="AJH96" s="14"/>
      <c r="AJI96" s="14"/>
      <c r="AJJ96" s="14"/>
      <c r="AJK96" s="14"/>
      <c r="AJL96" s="14"/>
      <c r="AJM96" s="14"/>
      <c r="AJN96" s="14"/>
      <c r="AJO96" s="14"/>
      <c r="AJP96" s="14"/>
      <c r="AJQ96" s="14"/>
      <c r="AJR96" s="14"/>
      <c r="AJS96" s="14"/>
      <c r="AJT96" s="14"/>
      <c r="AJU96" s="14"/>
      <c r="AJV96" s="14"/>
      <c r="AJW96" s="14"/>
      <c r="AJX96" s="14"/>
      <c r="AJY96" s="14"/>
      <c r="AJZ96" s="14"/>
      <c r="AKA96" s="14"/>
      <c r="AKB96" s="14"/>
      <c r="AKC96" s="14"/>
      <c r="AKD96" s="14"/>
      <c r="AKE96" s="14"/>
      <c r="AKF96" s="14"/>
      <c r="AKG96" s="14"/>
      <c r="AKH96" s="14"/>
      <c r="AKI96" s="14"/>
      <c r="AKJ96" s="14"/>
      <c r="AKK96" s="14"/>
      <c r="AKL96" s="14"/>
      <c r="AKM96" s="14"/>
      <c r="AKN96" s="14"/>
      <c r="AKO96" s="14"/>
      <c r="AKP96" s="14"/>
      <c r="AKQ96" s="14"/>
      <c r="AKR96" s="14"/>
      <c r="AKS96" s="14"/>
      <c r="AKT96" s="14"/>
      <c r="AKU96" s="14"/>
      <c r="AKV96" s="14"/>
      <c r="AKW96" s="14"/>
      <c r="AKX96" s="14"/>
      <c r="AKY96" s="14"/>
      <c r="AKZ96" s="14"/>
      <c r="ALA96" s="14"/>
      <c r="ALB96" s="14"/>
      <c r="ALC96" s="14"/>
      <c r="ALD96" s="14"/>
      <c r="ALE96" s="14"/>
      <c r="ALF96" s="14"/>
      <c r="ALG96" s="14"/>
      <c r="ALH96" s="14"/>
      <c r="ALI96" s="14"/>
      <c r="ALJ96" s="14"/>
      <c r="ALK96" s="14"/>
      <c r="ALL96" s="14"/>
      <c r="ALM96" s="14"/>
      <c r="ALN96" s="14"/>
      <c r="ALO96" s="14"/>
      <c r="ALP96" s="14"/>
      <c r="ALQ96" s="14"/>
      <c r="ALR96" s="14"/>
      <c r="ALS96" s="14"/>
      <c r="ALT96" s="14"/>
      <c r="ALU96" s="14"/>
      <c r="ALV96" s="14"/>
      <c r="ALW96" s="14"/>
      <c r="ALX96" s="14"/>
      <c r="ALY96" s="14"/>
      <c r="ALZ96" s="14"/>
      <c r="AMA96" s="14"/>
      <c r="AMB96" s="14"/>
      <c r="AMC96" s="14"/>
      <c r="AMD96" s="14"/>
      <c r="AME96" s="14"/>
      <c r="AMF96" s="14"/>
      <c r="AMG96" s="14"/>
      <c r="AMH96" s="14"/>
      <c r="AMI96" s="14"/>
      <c r="AMJ96" s="14"/>
      <c r="AMK96" s="14"/>
      <c r="AML96" s="14"/>
      <c r="AMM96" s="14"/>
      <c r="AMN96" s="14"/>
      <c r="AMO96" s="14"/>
      <c r="AMP96" s="14"/>
      <c r="AMQ96" s="14"/>
      <c r="AMR96" s="14"/>
      <c r="AMS96" s="14"/>
      <c r="AMT96" s="14"/>
      <c r="AMU96" s="14"/>
      <c r="AMV96" s="14"/>
      <c r="AMW96" s="14"/>
      <c r="AMX96" s="14"/>
      <c r="AMY96" s="14"/>
      <c r="AMZ96" s="14"/>
      <c r="ANA96" s="14"/>
      <c r="ANB96" s="14"/>
      <c r="ANC96" s="14"/>
      <c r="AND96" s="14"/>
      <c r="ANE96" s="14"/>
      <c r="ANF96" s="14"/>
      <c r="ANG96" s="14"/>
      <c r="ANH96" s="14"/>
      <c r="ANI96" s="14"/>
      <c r="ANJ96" s="14"/>
      <c r="ANK96" s="14"/>
      <c r="ANL96" s="14"/>
      <c r="ANM96" s="14"/>
      <c r="ANN96" s="14"/>
      <c r="ANO96" s="14"/>
      <c r="ANP96" s="14"/>
      <c r="ANQ96" s="14"/>
      <c r="ANR96" s="14"/>
      <c r="ANS96" s="14"/>
      <c r="ANT96" s="14"/>
      <c r="ANU96" s="14"/>
      <c r="ANV96" s="14"/>
      <c r="ANW96" s="14"/>
      <c r="ANX96" s="14"/>
      <c r="ANY96" s="14"/>
      <c r="ANZ96" s="14"/>
      <c r="AOA96" s="14"/>
      <c r="AOB96" s="14"/>
      <c r="AOC96" s="14"/>
      <c r="AOD96" s="14"/>
      <c r="AOE96" s="14"/>
      <c r="AOF96" s="14"/>
      <c r="AOG96" s="14"/>
      <c r="AOH96" s="14"/>
      <c r="AOI96" s="14"/>
      <c r="AOJ96" s="14"/>
      <c r="AOK96" s="14"/>
      <c r="AOL96" s="14"/>
      <c r="AOM96" s="14"/>
      <c r="AON96" s="14"/>
      <c r="AOO96" s="14"/>
      <c r="AOP96" s="14"/>
      <c r="AOQ96" s="14"/>
      <c r="AOR96" s="14"/>
      <c r="AOS96" s="14"/>
      <c r="AOT96" s="14"/>
      <c r="AOU96" s="14"/>
      <c r="AOV96" s="14"/>
      <c r="AOW96" s="14"/>
      <c r="AOX96" s="14"/>
      <c r="AOY96" s="14"/>
      <c r="AOZ96" s="14"/>
      <c r="APA96" s="14"/>
      <c r="APB96" s="14"/>
      <c r="APC96" s="14"/>
      <c r="APD96" s="14"/>
      <c r="APE96" s="14"/>
      <c r="APF96" s="14"/>
      <c r="APG96" s="14"/>
      <c r="APH96" s="14"/>
      <c r="API96" s="14"/>
      <c r="APJ96" s="14"/>
      <c r="APK96" s="14"/>
      <c r="APL96" s="14"/>
      <c r="APM96" s="14"/>
      <c r="APN96" s="14"/>
      <c r="APO96" s="14"/>
      <c r="APP96" s="14"/>
      <c r="APQ96" s="14"/>
      <c r="APR96" s="14"/>
      <c r="APS96" s="14"/>
      <c r="APT96" s="14"/>
      <c r="APU96" s="14"/>
      <c r="APV96" s="14"/>
      <c r="APW96" s="14"/>
      <c r="APX96" s="14"/>
      <c r="APY96" s="14"/>
      <c r="APZ96" s="14"/>
      <c r="AQA96" s="14"/>
      <c r="AQB96" s="14"/>
      <c r="AQC96" s="14"/>
      <c r="AQD96" s="14"/>
      <c r="AQE96" s="14"/>
      <c r="AQF96" s="14"/>
      <c r="AQG96" s="14"/>
      <c r="AQH96" s="14"/>
      <c r="AQI96" s="14"/>
      <c r="AQJ96" s="14"/>
      <c r="AQK96" s="14"/>
      <c r="AQL96" s="14"/>
      <c r="AQM96" s="14"/>
      <c r="AQN96" s="14"/>
      <c r="AQO96" s="14"/>
      <c r="AQP96" s="14"/>
      <c r="AQQ96" s="14"/>
      <c r="AQR96" s="14"/>
      <c r="AQS96" s="14"/>
      <c r="AQT96" s="14"/>
      <c r="AQU96" s="14"/>
      <c r="AQV96" s="14"/>
      <c r="AQW96" s="14"/>
      <c r="AQX96" s="14"/>
      <c r="AQY96" s="14"/>
      <c r="AQZ96" s="14"/>
      <c r="ARA96" s="14"/>
      <c r="ARB96" s="14"/>
      <c r="ARC96" s="14"/>
      <c r="ARD96" s="14"/>
      <c r="ARE96" s="14"/>
      <c r="ARF96" s="14"/>
      <c r="ARG96" s="14"/>
      <c r="ARH96" s="14"/>
      <c r="ARI96" s="14"/>
      <c r="ARJ96" s="14"/>
      <c r="ARK96" s="14"/>
      <c r="ARL96" s="14"/>
      <c r="ARM96" s="14"/>
      <c r="ARN96" s="14"/>
      <c r="ARO96" s="14"/>
      <c r="ARP96" s="14"/>
      <c r="ARQ96" s="14"/>
      <c r="ARR96" s="14"/>
      <c r="ARS96" s="14"/>
      <c r="ART96" s="14"/>
      <c r="ARU96" s="14"/>
      <c r="ARV96" s="14"/>
      <c r="ARW96" s="14"/>
      <c r="ARX96" s="14"/>
      <c r="ARY96" s="14"/>
      <c r="ARZ96" s="14"/>
      <c r="ASA96" s="14"/>
      <c r="ASB96" s="14"/>
      <c r="ASC96" s="14"/>
      <c r="ASD96" s="14"/>
      <c r="ASE96" s="14"/>
      <c r="ASF96" s="14"/>
      <c r="ASG96" s="14"/>
      <c r="ASH96" s="14"/>
      <c r="ASI96" s="14"/>
      <c r="ASJ96" s="14"/>
      <c r="ASK96" s="14"/>
      <c r="ASL96" s="14"/>
      <c r="ASM96" s="14"/>
      <c r="ASN96" s="14"/>
      <c r="ASO96" s="14"/>
      <c r="ASP96" s="14"/>
      <c r="ASQ96" s="14"/>
      <c r="ASR96" s="14"/>
      <c r="ASS96" s="14"/>
      <c r="AST96" s="14"/>
      <c r="ASU96" s="14"/>
      <c r="ASV96" s="14"/>
      <c r="ASW96" s="14"/>
      <c r="ASX96" s="14"/>
      <c r="ASY96" s="14"/>
      <c r="ASZ96" s="14"/>
      <c r="ATA96" s="14"/>
      <c r="ATB96" s="14"/>
      <c r="ATC96" s="14"/>
      <c r="ATD96" s="14"/>
      <c r="ATE96" s="14"/>
      <c r="ATF96" s="14"/>
      <c r="ATG96" s="14"/>
      <c r="ATH96" s="14"/>
      <c r="ATI96" s="14"/>
      <c r="ATJ96" s="14"/>
      <c r="ATK96" s="14"/>
      <c r="ATL96" s="14"/>
      <c r="ATM96" s="14"/>
      <c r="ATN96" s="14"/>
      <c r="ATO96" s="14"/>
      <c r="ATP96" s="14"/>
      <c r="ATQ96" s="14"/>
      <c r="ATR96" s="14"/>
      <c r="ATS96" s="14"/>
      <c r="ATT96" s="14"/>
      <c r="ATU96" s="14"/>
      <c r="ATV96" s="14"/>
      <c r="ATW96" s="14"/>
      <c r="ATX96" s="14"/>
      <c r="ATY96" s="14"/>
      <c r="ATZ96" s="14"/>
      <c r="AUA96" s="14"/>
      <c r="AUB96" s="14"/>
      <c r="AUC96" s="14"/>
      <c r="AUD96" s="14"/>
      <c r="AUE96" s="14"/>
      <c r="AUF96" s="14"/>
      <c r="AUG96" s="14"/>
      <c r="AUH96" s="14"/>
      <c r="AUI96" s="14"/>
      <c r="AUJ96" s="14"/>
      <c r="AUK96" s="14"/>
      <c r="AUL96" s="14"/>
      <c r="AUM96" s="14"/>
      <c r="AUN96" s="14"/>
      <c r="AUO96" s="14"/>
      <c r="AUP96" s="14"/>
      <c r="AUQ96" s="14"/>
      <c r="AUR96" s="14"/>
      <c r="AUS96" s="14"/>
      <c r="AUT96" s="14"/>
      <c r="AUU96" s="14"/>
      <c r="AUV96" s="14"/>
      <c r="AUW96" s="14"/>
      <c r="AUX96" s="14"/>
      <c r="AUY96" s="14"/>
      <c r="AUZ96" s="14"/>
      <c r="AVA96" s="14"/>
      <c r="AVB96" s="14"/>
      <c r="AVC96" s="14"/>
      <c r="AVD96" s="14"/>
      <c r="AVE96" s="14"/>
      <c r="AVF96" s="14"/>
      <c r="AVG96" s="14"/>
      <c r="AVH96" s="14"/>
      <c r="AVI96" s="14"/>
      <c r="AVJ96" s="14"/>
      <c r="AVK96" s="14"/>
      <c r="AVL96" s="14"/>
      <c r="AVM96" s="14"/>
      <c r="AVN96" s="14"/>
      <c r="AVO96" s="14"/>
      <c r="AVP96" s="14"/>
      <c r="AVQ96" s="14"/>
      <c r="AVR96" s="14"/>
      <c r="AVS96" s="14"/>
      <c r="AVT96" s="14"/>
      <c r="AVU96" s="14"/>
      <c r="AVV96" s="14"/>
      <c r="AVW96" s="14"/>
      <c r="AVX96" s="14"/>
      <c r="AVY96" s="14"/>
      <c r="AVZ96" s="14"/>
      <c r="AWA96" s="14"/>
      <c r="AWB96" s="14"/>
      <c r="AWC96" s="14"/>
      <c r="AWD96" s="14"/>
      <c r="AWE96" s="14"/>
      <c r="AWF96" s="14"/>
      <c r="AWG96" s="14"/>
      <c r="AWH96" s="14"/>
      <c r="AWI96" s="14"/>
      <c r="AWJ96" s="14"/>
      <c r="AWK96" s="14"/>
      <c r="AWL96" s="14"/>
      <c r="AWM96" s="14"/>
      <c r="AWN96" s="14"/>
      <c r="AWO96" s="14"/>
      <c r="AWP96" s="14"/>
      <c r="AWQ96" s="14"/>
      <c r="AWR96" s="14"/>
      <c r="AWS96" s="14"/>
      <c r="AWT96" s="14"/>
      <c r="AWU96" s="14"/>
      <c r="AWV96" s="14"/>
      <c r="AWW96" s="14"/>
      <c r="AWX96" s="14"/>
      <c r="AWY96" s="14"/>
      <c r="AWZ96" s="14"/>
      <c r="AXA96" s="14"/>
      <c r="AXB96" s="14"/>
      <c r="AXC96" s="14"/>
      <c r="AXD96" s="14"/>
      <c r="AXE96" s="14"/>
      <c r="AXF96" s="14"/>
      <c r="AXG96" s="14"/>
      <c r="AXH96" s="14"/>
      <c r="AXI96" s="14"/>
      <c r="AXJ96" s="14"/>
      <c r="AXK96" s="14"/>
      <c r="AXL96" s="14"/>
      <c r="AXM96" s="14"/>
      <c r="AXN96" s="14"/>
      <c r="AXO96" s="14"/>
      <c r="AXP96" s="14"/>
      <c r="AXQ96" s="14"/>
      <c r="AXR96" s="14"/>
      <c r="AXS96" s="14"/>
      <c r="AXT96" s="14"/>
      <c r="AXU96" s="14"/>
      <c r="AXV96" s="14"/>
      <c r="AXW96" s="14"/>
      <c r="AXX96" s="14"/>
      <c r="AXY96" s="14"/>
      <c r="AXZ96" s="14"/>
      <c r="AYA96" s="14"/>
      <c r="AYB96" s="14"/>
      <c r="AYC96" s="14"/>
      <c r="AYD96" s="14"/>
      <c r="AYE96" s="14"/>
      <c r="AYF96" s="14"/>
      <c r="AYG96" s="14"/>
      <c r="AYH96" s="14"/>
      <c r="AYI96" s="14"/>
      <c r="AYJ96" s="14"/>
      <c r="AYK96" s="14"/>
      <c r="AYL96" s="14"/>
      <c r="AYM96" s="14"/>
      <c r="AYN96" s="14"/>
      <c r="AYO96" s="14"/>
      <c r="AYP96" s="14"/>
      <c r="AYQ96" s="14"/>
      <c r="AYR96" s="14"/>
      <c r="AYS96" s="14"/>
      <c r="AYT96" s="14"/>
      <c r="AYU96" s="14"/>
      <c r="AYV96" s="14"/>
      <c r="AYW96" s="14"/>
      <c r="AYX96" s="14"/>
      <c r="AYY96" s="14"/>
      <c r="AYZ96" s="14"/>
      <c r="AZA96" s="14"/>
      <c r="AZB96" s="14"/>
      <c r="AZC96" s="14"/>
      <c r="AZD96" s="14"/>
      <c r="AZE96" s="14"/>
      <c r="AZF96" s="14"/>
      <c r="AZG96" s="14"/>
      <c r="AZH96" s="14"/>
      <c r="AZI96" s="14"/>
      <c r="AZJ96" s="14"/>
      <c r="AZK96" s="14"/>
      <c r="AZL96" s="14"/>
      <c r="AZM96" s="14"/>
      <c r="AZN96" s="14"/>
      <c r="AZO96" s="14"/>
      <c r="AZP96" s="14"/>
      <c r="AZQ96" s="14"/>
      <c r="AZR96" s="14"/>
      <c r="AZS96" s="14"/>
      <c r="AZT96" s="14"/>
      <c r="AZU96" s="14"/>
      <c r="AZV96" s="14"/>
      <c r="AZW96" s="14"/>
      <c r="AZX96" s="14"/>
      <c r="AZY96" s="14"/>
      <c r="AZZ96" s="14"/>
      <c r="BAA96" s="14"/>
      <c r="BAB96" s="14"/>
      <c r="BAC96" s="14"/>
      <c r="BAD96" s="14"/>
      <c r="BAE96" s="14"/>
      <c r="BAF96" s="14"/>
      <c r="BAG96" s="14"/>
      <c r="BAH96" s="14"/>
      <c r="BAI96" s="14"/>
      <c r="BAJ96" s="14"/>
      <c r="BAK96" s="14"/>
      <c r="BAL96" s="14"/>
      <c r="BAM96" s="14"/>
      <c r="BAN96" s="14"/>
      <c r="BAO96" s="14"/>
      <c r="BAP96" s="14"/>
      <c r="BAQ96" s="14"/>
      <c r="BAR96" s="14"/>
      <c r="BAS96" s="14"/>
      <c r="BAT96" s="14"/>
      <c r="BAU96" s="14"/>
      <c r="BAV96" s="14"/>
      <c r="BAW96" s="14"/>
      <c r="BAX96" s="14"/>
      <c r="BAY96" s="14"/>
      <c r="BAZ96" s="14"/>
      <c r="BBA96" s="14"/>
      <c r="BBB96" s="14"/>
      <c r="BBC96" s="14"/>
      <c r="BBD96" s="14"/>
      <c r="BBE96" s="14"/>
      <c r="BBF96" s="14"/>
      <c r="BBG96" s="14"/>
      <c r="BBH96" s="14"/>
      <c r="BBI96" s="14"/>
      <c r="BBJ96" s="14"/>
      <c r="BBK96" s="14"/>
      <c r="BBL96" s="14"/>
      <c r="BBM96" s="14"/>
      <c r="BBN96" s="14"/>
      <c r="BBO96" s="14"/>
      <c r="BBP96" s="14"/>
      <c r="BBQ96" s="14"/>
      <c r="BBR96" s="14"/>
      <c r="BBS96" s="14"/>
      <c r="BBT96" s="14"/>
      <c r="BBU96" s="14"/>
      <c r="BBV96" s="14"/>
      <c r="BBW96" s="14"/>
      <c r="BBX96" s="14"/>
      <c r="BBY96" s="14"/>
      <c r="BBZ96" s="14"/>
      <c r="BCA96" s="14"/>
      <c r="BCB96" s="14"/>
      <c r="BCC96" s="14"/>
      <c r="BCD96" s="14"/>
      <c r="BCE96" s="14"/>
      <c r="BCF96" s="14"/>
      <c r="BCG96" s="14"/>
      <c r="BCH96" s="14"/>
      <c r="BCI96" s="14"/>
      <c r="BCJ96" s="14"/>
      <c r="BCK96" s="14"/>
      <c r="BCL96" s="14"/>
      <c r="BCM96" s="14"/>
      <c r="BCN96" s="14"/>
      <c r="BCO96" s="14"/>
      <c r="BCP96" s="14"/>
      <c r="BCQ96" s="14"/>
      <c r="BCR96" s="14"/>
      <c r="BCS96" s="14"/>
      <c r="BCT96" s="14"/>
      <c r="BCU96" s="14"/>
      <c r="BCV96" s="14"/>
      <c r="BCW96" s="14"/>
      <c r="BCX96" s="14"/>
      <c r="BCY96" s="14"/>
      <c r="BCZ96" s="14"/>
      <c r="BDA96" s="14"/>
      <c r="BDB96" s="14"/>
      <c r="BDC96" s="14"/>
      <c r="BDD96" s="14"/>
      <c r="BDE96" s="14"/>
      <c r="BDF96" s="14"/>
      <c r="BDG96" s="14"/>
      <c r="BDH96" s="14"/>
      <c r="BDI96" s="14"/>
      <c r="BDJ96" s="14"/>
      <c r="BDK96" s="14"/>
      <c r="BDL96" s="14"/>
      <c r="BDM96" s="14"/>
      <c r="BDN96" s="14"/>
      <c r="BDO96" s="14"/>
      <c r="BDP96" s="14"/>
      <c r="BDQ96" s="14"/>
      <c r="BDR96" s="14"/>
      <c r="BDS96" s="14"/>
      <c r="BDT96" s="14"/>
      <c r="BDU96" s="14"/>
      <c r="BDV96" s="14"/>
      <c r="BDW96" s="14"/>
      <c r="BDX96" s="14"/>
      <c r="BDY96" s="14"/>
      <c r="BDZ96" s="14"/>
      <c r="BEA96" s="14"/>
      <c r="BEB96" s="14"/>
      <c r="BEC96" s="14"/>
      <c r="BED96" s="14"/>
      <c r="BEE96" s="14"/>
      <c r="BEF96" s="14"/>
      <c r="BEG96" s="14"/>
      <c r="BEH96" s="14"/>
      <c r="BEI96" s="14"/>
      <c r="BEJ96" s="14"/>
      <c r="BEK96" s="14"/>
      <c r="BEL96" s="14"/>
      <c r="BEM96" s="14"/>
      <c r="BEN96" s="14"/>
      <c r="BEO96" s="14"/>
      <c r="BEP96" s="14"/>
      <c r="BEQ96" s="14"/>
      <c r="BER96" s="14"/>
      <c r="BES96" s="14"/>
      <c r="BET96" s="14"/>
      <c r="BEU96" s="14"/>
      <c r="BEV96" s="14"/>
      <c r="BEW96" s="14"/>
      <c r="BEX96" s="14"/>
      <c r="BEY96" s="14"/>
      <c r="BEZ96" s="14"/>
      <c r="BFA96" s="14"/>
      <c r="BFB96" s="14"/>
      <c r="BFC96" s="14"/>
      <c r="BFD96" s="14"/>
      <c r="BFE96" s="14"/>
      <c r="BFF96" s="14"/>
      <c r="BFG96" s="14"/>
      <c r="BFH96" s="14"/>
      <c r="BFI96" s="14"/>
      <c r="BFJ96" s="14"/>
      <c r="BFK96" s="14"/>
      <c r="BFL96" s="14"/>
      <c r="BFM96" s="14"/>
      <c r="BFN96" s="14"/>
      <c r="BFO96" s="14"/>
      <c r="BFP96" s="14"/>
      <c r="BFQ96" s="14"/>
      <c r="BFR96" s="14"/>
      <c r="BFS96" s="14"/>
      <c r="BFT96" s="14"/>
      <c r="BFU96" s="14"/>
      <c r="BFV96" s="14"/>
      <c r="BFW96" s="14"/>
      <c r="BFX96" s="14"/>
      <c r="BFY96" s="14"/>
      <c r="BFZ96" s="14"/>
      <c r="BGA96" s="14"/>
      <c r="BGB96" s="14"/>
      <c r="BGC96" s="14"/>
      <c r="BGD96" s="14"/>
      <c r="BGE96" s="14"/>
      <c r="BGF96" s="14"/>
      <c r="BGG96" s="14"/>
      <c r="BGH96" s="14"/>
      <c r="BGI96" s="14"/>
      <c r="BGJ96" s="14"/>
      <c r="BGK96" s="14"/>
      <c r="BGL96" s="14"/>
      <c r="BGM96" s="14"/>
      <c r="BGN96" s="14"/>
      <c r="BGO96" s="14"/>
      <c r="BGP96" s="14"/>
      <c r="BGQ96" s="14"/>
      <c r="BGR96" s="14"/>
      <c r="BGS96" s="14"/>
      <c r="BGT96" s="14"/>
      <c r="BGU96" s="14"/>
      <c r="BGV96" s="14"/>
      <c r="BGW96" s="14"/>
      <c r="BGX96" s="14"/>
      <c r="BGY96" s="14"/>
      <c r="BGZ96" s="14"/>
      <c r="BHA96" s="14"/>
      <c r="BHB96" s="14"/>
      <c r="BHC96" s="14"/>
      <c r="BHD96" s="14"/>
      <c r="BHE96" s="14"/>
      <c r="BHF96" s="14"/>
      <c r="BHG96" s="14"/>
      <c r="BHH96" s="14"/>
      <c r="BHI96" s="14"/>
      <c r="BHJ96" s="14"/>
      <c r="BHK96" s="14"/>
      <c r="BHL96" s="14"/>
      <c r="BHM96" s="14"/>
      <c r="BHN96" s="14"/>
      <c r="BHO96" s="14"/>
      <c r="BHP96" s="14"/>
      <c r="BHQ96" s="14"/>
      <c r="BHR96" s="14"/>
      <c r="BHS96" s="14"/>
      <c r="BHT96" s="14"/>
      <c r="BHU96" s="14"/>
      <c r="BHV96" s="14"/>
      <c r="BHW96" s="14"/>
      <c r="BHX96" s="14"/>
      <c r="BHY96" s="14"/>
      <c r="BHZ96" s="14"/>
      <c r="BIA96" s="14"/>
      <c r="BIB96" s="14"/>
      <c r="BIC96" s="14"/>
      <c r="BID96" s="14"/>
      <c r="BIE96" s="14"/>
      <c r="BIF96" s="14"/>
      <c r="BIG96" s="14"/>
      <c r="BIH96" s="14"/>
      <c r="BII96" s="14"/>
      <c r="BIJ96" s="14"/>
      <c r="BIK96" s="14"/>
      <c r="BIL96" s="14"/>
      <c r="BIM96" s="14"/>
      <c r="BIN96" s="14"/>
      <c r="BIO96" s="14"/>
      <c r="BIP96" s="14"/>
      <c r="BIQ96" s="14"/>
      <c r="BIR96" s="14"/>
      <c r="BIS96" s="14"/>
      <c r="BIT96" s="14"/>
      <c r="BIU96" s="14"/>
      <c r="BIV96" s="14"/>
      <c r="BIW96" s="14"/>
      <c r="BIX96" s="14"/>
      <c r="BIY96" s="14"/>
      <c r="BIZ96" s="14"/>
      <c r="BJA96" s="14"/>
      <c r="BJB96" s="14"/>
      <c r="BJC96" s="14"/>
      <c r="BJD96" s="14"/>
      <c r="BJE96" s="14"/>
      <c r="BJF96" s="14"/>
      <c r="BJG96" s="14"/>
      <c r="BJH96" s="14"/>
      <c r="BJI96" s="14"/>
      <c r="BJJ96" s="14"/>
      <c r="BJK96" s="14"/>
      <c r="BJL96" s="14"/>
      <c r="BJM96" s="14"/>
      <c r="BJN96" s="14"/>
      <c r="BJO96" s="14"/>
      <c r="BJP96" s="14"/>
      <c r="BJQ96" s="14"/>
      <c r="BJR96" s="14"/>
      <c r="BJS96" s="14"/>
      <c r="BJT96" s="14"/>
      <c r="BJU96" s="14"/>
      <c r="BJV96" s="14"/>
      <c r="BJW96" s="14"/>
      <c r="BJX96" s="14"/>
      <c r="BJY96" s="14"/>
      <c r="BJZ96" s="14"/>
      <c r="BKA96" s="14"/>
      <c r="BKB96" s="14"/>
      <c r="BKC96" s="14"/>
      <c r="BKD96" s="14"/>
      <c r="BKE96" s="14"/>
      <c r="BKF96" s="14"/>
      <c r="BKG96" s="14"/>
      <c r="BKH96" s="14"/>
      <c r="BKI96" s="14"/>
      <c r="BKJ96" s="14"/>
      <c r="BKK96" s="14"/>
      <c r="BKL96" s="14"/>
      <c r="BKM96" s="14"/>
      <c r="BKN96" s="14"/>
      <c r="BKO96" s="14"/>
      <c r="BKP96" s="14"/>
      <c r="BKQ96" s="14"/>
      <c r="BKR96" s="14"/>
      <c r="BKS96" s="14"/>
      <c r="BKT96" s="14"/>
      <c r="BKU96" s="14"/>
      <c r="BKV96" s="14"/>
      <c r="BKW96" s="14"/>
      <c r="BKX96" s="14"/>
      <c r="BKY96" s="14"/>
      <c r="BKZ96" s="14"/>
      <c r="BLA96" s="14"/>
      <c r="BLB96" s="14"/>
      <c r="BLC96" s="14"/>
      <c r="BLD96" s="14"/>
      <c r="BLE96" s="14"/>
      <c r="BLF96" s="14"/>
      <c r="BLG96" s="14"/>
      <c r="BLH96" s="14"/>
      <c r="BLI96" s="14"/>
      <c r="BLJ96" s="14"/>
      <c r="BLK96" s="14"/>
      <c r="BLL96" s="14"/>
      <c r="BLM96" s="14"/>
      <c r="BLN96" s="14"/>
      <c r="BLO96" s="14"/>
      <c r="BLP96" s="14"/>
      <c r="BLQ96" s="14"/>
      <c r="BLR96" s="14"/>
      <c r="BLS96" s="14"/>
      <c r="BLT96" s="14"/>
      <c r="BLU96" s="14"/>
      <c r="BLV96" s="14"/>
      <c r="BLW96" s="14"/>
      <c r="BLX96" s="14"/>
      <c r="BLY96" s="14"/>
      <c r="BLZ96" s="14"/>
      <c r="BMA96" s="14"/>
      <c r="BMB96" s="14"/>
      <c r="BMC96" s="14"/>
      <c r="BMD96" s="14"/>
      <c r="BME96" s="14"/>
      <c r="BMF96" s="14"/>
      <c r="BMG96" s="14"/>
      <c r="BMH96" s="14"/>
      <c r="BMI96" s="14"/>
      <c r="BMJ96" s="14"/>
      <c r="BMK96" s="14"/>
      <c r="BML96" s="14"/>
      <c r="BMM96" s="14"/>
      <c r="BMN96" s="14"/>
      <c r="BMO96" s="14"/>
      <c r="BMP96" s="14"/>
      <c r="BMQ96" s="14"/>
      <c r="BMR96" s="14"/>
      <c r="BMS96" s="14"/>
      <c r="BMT96" s="14"/>
      <c r="BMU96" s="14"/>
      <c r="BMV96" s="14"/>
      <c r="BMW96" s="14"/>
      <c r="BMX96" s="14"/>
      <c r="BMY96" s="14"/>
      <c r="BMZ96" s="14"/>
      <c r="BNA96" s="14"/>
      <c r="BNB96" s="14"/>
      <c r="BNC96" s="14"/>
      <c r="BND96" s="14"/>
      <c r="BNE96" s="14"/>
      <c r="BNF96" s="14"/>
      <c r="BNG96" s="14"/>
      <c r="BNH96" s="14"/>
      <c r="BNI96" s="14"/>
      <c r="BNJ96" s="14"/>
      <c r="BNK96" s="14"/>
      <c r="BNL96" s="14"/>
      <c r="BNM96" s="14"/>
      <c r="BNN96" s="14"/>
      <c r="BNO96" s="14"/>
      <c r="BNP96" s="14"/>
      <c r="BNQ96" s="14"/>
      <c r="BNR96" s="14"/>
      <c r="BNS96" s="14"/>
      <c r="BNT96" s="14"/>
      <c r="BNU96" s="14"/>
      <c r="BNV96" s="14"/>
      <c r="BNW96" s="14"/>
      <c r="BNX96" s="14"/>
      <c r="BNY96" s="14"/>
      <c r="BNZ96" s="14"/>
      <c r="BOA96" s="14"/>
      <c r="BOB96" s="14"/>
      <c r="BOC96" s="14"/>
      <c r="BOD96" s="14"/>
      <c r="BOE96" s="14"/>
      <c r="BOF96" s="14"/>
      <c r="BOG96" s="14"/>
      <c r="BOH96" s="14"/>
      <c r="BOI96" s="14"/>
      <c r="BOJ96" s="14"/>
      <c r="BOK96" s="14"/>
      <c r="BOL96" s="14"/>
      <c r="BOM96" s="14"/>
      <c r="BON96" s="14"/>
      <c r="BOO96" s="14"/>
      <c r="BOP96" s="14"/>
      <c r="BOQ96" s="14"/>
      <c r="BOR96" s="14"/>
      <c r="BOS96" s="14"/>
      <c r="BOT96" s="14"/>
      <c r="BOU96" s="14"/>
      <c r="BOV96" s="14"/>
      <c r="BOW96" s="14"/>
      <c r="BOX96" s="14"/>
      <c r="BOY96" s="14"/>
      <c r="BOZ96" s="14"/>
      <c r="BPA96" s="14"/>
      <c r="BPB96" s="14"/>
      <c r="BPC96" s="14"/>
      <c r="BPD96" s="14"/>
      <c r="BPE96" s="14"/>
      <c r="BPF96" s="14"/>
      <c r="BPG96" s="14"/>
      <c r="BPH96" s="14"/>
      <c r="BPI96" s="14"/>
      <c r="BPJ96" s="14"/>
      <c r="BPK96" s="14"/>
      <c r="BPL96" s="14"/>
      <c r="BPM96" s="14"/>
      <c r="BPN96" s="14"/>
      <c r="BPO96" s="14"/>
      <c r="BPP96" s="14"/>
      <c r="BPQ96" s="14"/>
      <c r="BPR96" s="14"/>
      <c r="BPS96" s="14"/>
      <c r="BPT96" s="14"/>
      <c r="BPU96" s="14"/>
      <c r="BPV96" s="14"/>
      <c r="BPW96" s="14"/>
      <c r="BPX96" s="14"/>
      <c r="BPY96" s="14"/>
      <c r="BPZ96" s="14"/>
      <c r="BQA96" s="14"/>
      <c r="BQB96" s="14"/>
      <c r="BQC96" s="14"/>
      <c r="BQD96" s="14"/>
      <c r="BQE96" s="14"/>
      <c r="BQF96" s="14"/>
      <c r="BQG96" s="14"/>
      <c r="BQH96" s="14"/>
      <c r="BQI96" s="14"/>
      <c r="BQJ96" s="14"/>
      <c r="BQK96" s="14"/>
      <c r="BQL96" s="14"/>
      <c r="BQM96" s="14"/>
      <c r="BQN96" s="14"/>
      <c r="BQO96" s="14"/>
      <c r="BQP96" s="14"/>
      <c r="BQQ96" s="14"/>
      <c r="BQR96" s="14"/>
      <c r="BQS96" s="14"/>
      <c r="BQT96" s="14"/>
      <c r="BQU96" s="14"/>
      <c r="BQV96" s="14"/>
      <c r="BQW96" s="14"/>
      <c r="BQX96" s="14"/>
      <c r="BQY96" s="14"/>
      <c r="BQZ96" s="14"/>
      <c r="BRA96" s="14"/>
      <c r="BRB96" s="14"/>
      <c r="BRC96" s="14"/>
      <c r="BRD96" s="14"/>
      <c r="BRE96" s="14"/>
      <c r="BRF96" s="14"/>
      <c r="BRG96" s="14"/>
      <c r="BRH96" s="14"/>
      <c r="BRI96" s="14"/>
      <c r="BRJ96" s="14"/>
      <c r="BRK96" s="14"/>
      <c r="BRL96" s="14"/>
      <c r="BRM96" s="14"/>
      <c r="BRN96" s="14"/>
      <c r="BRO96" s="14"/>
      <c r="BRP96" s="14"/>
      <c r="BRQ96" s="14"/>
      <c r="BRR96" s="14"/>
      <c r="BRS96" s="14"/>
      <c r="BRT96" s="14"/>
      <c r="BRU96" s="14"/>
      <c r="BRV96" s="14"/>
      <c r="BRW96" s="14"/>
      <c r="BRX96" s="14"/>
      <c r="BRY96" s="14"/>
      <c r="BRZ96" s="14"/>
      <c r="BSA96" s="14"/>
      <c r="BSB96" s="14"/>
      <c r="BSC96" s="14"/>
      <c r="BSD96" s="14"/>
      <c r="BSE96" s="14"/>
      <c r="BSF96" s="14"/>
      <c r="BSG96" s="14"/>
      <c r="BSH96" s="14"/>
      <c r="BSI96" s="14"/>
      <c r="BSJ96" s="14"/>
      <c r="BSK96" s="14"/>
      <c r="BSL96" s="14"/>
      <c r="BSM96" s="14"/>
      <c r="BSN96" s="14"/>
      <c r="BSO96" s="14"/>
      <c r="BSP96" s="14"/>
      <c r="BSQ96" s="14"/>
      <c r="BSR96" s="14"/>
      <c r="BSS96" s="14"/>
      <c r="BST96" s="14"/>
      <c r="BSU96" s="14"/>
      <c r="BSV96" s="14"/>
      <c r="BSW96" s="14"/>
      <c r="BSX96" s="14"/>
      <c r="BSY96" s="14"/>
      <c r="BSZ96" s="14"/>
      <c r="BTA96" s="14"/>
      <c r="BTB96" s="14"/>
      <c r="BTC96" s="14"/>
      <c r="BTD96" s="14"/>
      <c r="BTE96" s="14"/>
      <c r="BTF96" s="14"/>
      <c r="BTG96" s="14"/>
      <c r="BTH96" s="14"/>
      <c r="BTI96" s="14"/>
      <c r="BTJ96" s="14"/>
      <c r="BTK96" s="14"/>
      <c r="BTL96" s="14"/>
      <c r="BTM96" s="14"/>
      <c r="BTN96" s="14"/>
      <c r="BTO96" s="14"/>
      <c r="BTP96" s="14"/>
      <c r="BTQ96" s="14"/>
      <c r="BTR96" s="14"/>
      <c r="BTS96" s="14"/>
      <c r="BTT96" s="14"/>
      <c r="BTU96" s="14"/>
      <c r="BTV96" s="14"/>
      <c r="BTW96" s="14"/>
      <c r="BTX96" s="14"/>
      <c r="BTY96" s="14"/>
      <c r="BTZ96" s="14"/>
      <c r="BUA96" s="14"/>
      <c r="BUB96" s="14"/>
      <c r="BUC96" s="14"/>
      <c r="BUD96" s="14"/>
      <c r="BUE96" s="14"/>
      <c r="BUF96" s="14"/>
      <c r="BUG96" s="14"/>
      <c r="BUH96" s="14"/>
      <c r="BUI96" s="14"/>
      <c r="BUJ96" s="14"/>
      <c r="BUK96" s="14"/>
      <c r="BUL96" s="14"/>
      <c r="BUM96" s="14"/>
      <c r="BUN96" s="14"/>
      <c r="BUO96" s="14"/>
      <c r="BUP96" s="14"/>
      <c r="BUQ96" s="14"/>
      <c r="BUR96" s="14"/>
      <c r="BUS96" s="14"/>
      <c r="BUT96" s="14"/>
      <c r="BUU96" s="14"/>
      <c r="BUV96" s="14"/>
      <c r="BUW96" s="14"/>
      <c r="BUX96" s="14"/>
      <c r="BUY96" s="14"/>
      <c r="BUZ96" s="14"/>
      <c r="BVA96" s="14"/>
      <c r="BVB96" s="14"/>
      <c r="BVC96" s="14"/>
      <c r="BVD96" s="14"/>
      <c r="BVE96" s="14"/>
      <c r="BVF96" s="14"/>
      <c r="BVG96" s="14"/>
      <c r="BVH96" s="14"/>
      <c r="BVI96" s="14"/>
      <c r="BVJ96" s="14"/>
      <c r="BVK96" s="14"/>
      <c r="BVL96" s="14"/>
      <c r="BVM96" s="14"/>
      <c r="BVN96" s="14"/>
      <c r="BVO96" s="14"/>
      <c r="BVP96" s="14"/>
      <c r="BVQ96" s="14"/>
      <c r="BVR96" s="14"/>
      <c r="BVS96" s="14"/>
      <c r="BVT96" s="14"/>
      <c r="BVU96" s="14"/>
      <c r="BVV96" s="14"/>
      <c r="BVW96" s="14"/>
      <c r="BVX96" s="14"/>
      <c r="BVY96" s="14"/>
      <c r="BVZ96" s="14"/>
      <c r="BWA96" s="14"/>
      <c r="BWB96" s="14"/>
      <c r="BWC96" s="14"/>
      <c r="BWD96" s="14"/>
      <c r="BWE96" s="14"/>
      <c r="BWF96" s="14"/>
      <c r="BWG96" s="14"/>
      <c r="BWH96" s="14"/>
      <c r="BWI96" s="14"/>
      <c r="BWJ96" s="14"/>
      <c r="BWK96" s="14"/>
      <c r="BWL96" s="14"/>
      <c r="BWM96" s="14"/>
      <c r="BWN96" s="14"/>
      <c r="BWO96" s="14"/>
      <c r="BWP96" s="14"/>
      <c r="BWQ96" s="14"/>
      <c r="BWR96" s="14"/>
      <c r="BWS96" s="14"/>
      <c r="BWT96" s="14"/>
      <c r="BWU96" s="14"/>
      <c r="BWV96" s="14"/>
      <c r="BWW96" s="14"/>
      <c r="BWX96" s="14"/>
      <c r="BWY96" s="14"/>
      <c r="BWZ96" s="14"/>
      <c r="BXA96" s="14"/>
      <c r="BXB96" s="14"/>
      <c r="BXC96" s="14"/>
      <c r="BXD96" s="14"/>
      <c r="BXE96" s="14"/>
      <c r="BXF96" s="14"/>
      <c r="BXG96" s="14"/>
      <c r="BXH96" s="14"/>
      <c r="BXI96" s="14"/>
      <c r="BXJ96" s="14"/>
      <c r="BXK96" s="14"/>
      <c r="BXL96" s="14"/>
      <c r="BXM96" s="14"/>
      <c r="BXN96" s="14"/>
      <c r="BXO96" s="14"/>
      <c r="BXP96" s="14"/>
      <c r="BXQ96" s="14"/>
      <c r="BXR96" s="14"/>
      <c r="BXS96" s="14"/>
      <c r="BXT96" s="14"/>
      <c r="BXU96" s="14"/>
      <c r="BXV96" s="14"/>
      <c r="BXW96" s="14"/>
      <c r="BXX96" s="14"/>
      <c r="BXY96" s="14"/>
      <c r="BXZ96" s="14"/>
      <c r="BYA96" s="14"/>
      <c r="BYB96" s="14"/>
      <c r="BYC96" s="14"/>
      <c r="BYD96" s="14"/>
      <c r="BYE96" s="14"/>
      <c r="BYF96" s="14"/>
      <c r="BYG96" s="14"/>
      <c r="BYH96" s="14"/>
      <c r="BYI96" s="14"/>
      <c r="BYJ96" s="14"/>
      <c r="BYK96" s="14"/>
      <c r="BYL96" s="14"/>
      <c r="BYM96" s="14"/>
      <c r="BYN96" s="14"/>
      <c r="BYO96" s="14"/>
      <c r="BYP96" s="14"/>
      <c r="BYQ96" s="14"/>
      <c r="BYR96" s="14"/>
      <c r="BYS96" s="14"/>
      <c r="BYT96" s="14"/>
      <c r="BYU96" s="14"/>
      <c r="BYV96" s="14"/>
      <c r="BYW96" s="14"/>
      <c r="BYX96" s="14"/>
      <c r="BYY96" s="14"/>
      <c r="BYZ96" s="14"/>
      <c r="BZA96" s="14"/>
      <c r="BZB96" s="14"/>
      <c r="BZC96" s="14"/>
      <c r="BZD96" s="14"/>
      <c r="BZE96" s="14"/>
      <c r="BZF96" s="14"/>
      <c r="BZG96" s="14"/>
      <c r="BZH96" s="14"/>
      <c r="BZI96" s="14"/>
      <c r="BZJ96" s="14"/>
      <c r="BZK96" s="14"/>
      <c r="BZL96" s="14"/>
      <c r="BZM96" s="14"/>
      <c r="BZN96" s="14"/>
      <c r="BZO96" s="14"/>
      <c r="BZP96" s="14"/>
      <c r="BZQ96" s="14"/>
      <c r="BZR96" s="14"/>
      <c r="BZS96" s="14"/>
      <c r="BZT96" s="14"/>
      <c r="BZU96" s="14"/>
      <c r="BZV96" s="14"/>
      <c r="BZW96" s="14"/>
      <c r="BZX96" s="14"/>
      <c r="BZY96" s="14"/>
      <c r="BZZ96" s="14"/>
      <c r="CAA96" s="14"/>
      <c r="CAB96" s="14"/>
      <c r="CAC96" s="14"/>
      <c r="CAD96" s="14"/>
      <c r="CAE96" s="14"/>
      <c r="CAF96" s="14"/>
      <c r="CAG96" s="14"/>
      <c r="CAH96" s="14"/>
      <c r="CAI96" s="14"/>
      <c r="CAJ96" s="14"/>
      <c r="CAK96" s="14"/>
      <c r="CAL96" s="14"/>
      <c r="CAM96" s="14"/>
      <c r="CAN96" s="14"/>
      <c r="CAO96" s="14"/>
      <c r="CAP96" s="14"/>
      <c r="CAQ96" s="14"/>
      <c r="CAR96" s="14"/>
      <c r="CAS96" s="14"/>
      <c r="CAT96" s="14"/>
      <c r="CAU96" s="14"/>
      <c r="CAV96" s="14"/>
      <c r="CAW96" s="14"/>
      <c r="CAX96" s="14"/>
      <c r="CAY96" s="14"/>
      <c r="CAZ96" s="14"/>
      <c r="CBA96" s="14"/>
      <c r="CBB96" s="14"/>
      <c r="CBC96" s="14"/>
      <c r="CBD96" s="14"/>
      <c r="CBE96" s="14"/>
      <c r="CBF96" s="14"/>
      <c r="CBG96" s="14"/>
      <c r="CBH96" s="14"/>
      <c r="CBI96" s="14"/>
      <c r="CBJ96" s="14"/>
      <c r="CBK96" s="14"/>
      <c r="CBL96" s="14"/>
      <c r="CBM96" s="14"/>
      <c r="CBN96" s="14"/>
      <c r="CBO96" s="14"/>
      <c r="CBP96" s="14"/>
      <c r="CBQ96" s="14"/>
      <c r="CBR96" s="14"/>
      <c r="CBS96" s="14"/>
      <c r="CBT96" s="14"/>
      <c r="CBU96" s="14"/>
      <c r="CBV96" s="14"/>
      <c r="CBW96" s="14"/>
      <c r="CBX96" s="14"/>
      <c r="CBY96" s="14"/>
      <c r="CBZ96" s="14"/>
      <c r="CCA96" s="14"/>
      <c r="CCB96" s="14"/>
      <c r="CCC96" s="14"/>
      <c r="CCD96" s="14"/>
      <c r="CCE96" s="14"/>
      <c r="CCF96" s="14"/>
      <c r="CCG96" s="14"/>
      <c r="CCH96" s="14"/>
      <c r="CCI96" s="14"/>
      <c r="CCJ96" s="14"/>
      <c r="CCK96" s="14"/>
      <c r="CCL96" s="14"/>
      <c r="CCM96" s="14"/>
      <c r="CCN96" s="14"/>
      <c r="CCO96" s="14"/>
      <c r="CCP96" s="14"/>
      <c r="CCQ96" s="14"/>
      <c r="CCR96" s="14"/>
      <c r="CCS96" s="14"/>
      <c r="CCT96" s="14"/>
      <c r="CCU96" s="14"/>
      <c r="CCV96" s="14"/>
      <c r="CCW96" s="14"/>
      <c r="CCX96" s="14"/>
      <c r="CCY96" s="14"/>
      <c r="CCZ96" s="14"/>
      <c r="CDA96" s="14"/>
      <c r="CDB96" s="14"/>
      <c r="CDC96" s="14"/>
      <c r="CDD96" s="14"/>
      <c r="CDE96" s="14"/>
      <c r="CDF96" s="14"/>
      <c r="CDG96" s="14"/>
      <c r="CDH96" s="14"/>
      <c r="CDI96" s="14"/>
      <c r="CDJ96" s="14"/>
      <c r="CDK96" s="14"/>
      <c r="CDL96" s="14"/>
      <c r="CDM96" s="14"/>
      <c r="CDN96" s="14"/>
      <c r="CDO96" s="14"/>
      <c r="CDP96" s="14"/>
      <c r="CDQ96" s="14"/>
      <c r="CDR96" s="14"/>
      <c r="CDS96" s="14"/>
      <c r="CDT96" s="14"/>
      <c r="CDU96" s="14"/>
      <c r="CDV96" s="14"/>
      <c r="CDW96" s="14"/>
      <c r="CDX96" s="14"/>
      <c r="CDY96" s="14"/>
      <c r="CDZ96" s="14"/>
      <c r="CEA96" s="14"/>
      <c r="CEB96" s="14"/>
      <c r="CEC96" s="14"/>
      <c r="CED96" s="14"/>
      <c r="CEE96" s="14"/>
      <c r="CEF96" s="14"/>
      <c r="CEG96" s="14"/>
      <c r="CEH96" s="14"/>
      <c r="CEI96" s="14"/>
      <c r="CEJ96" s="14"/>
      <c r="CEK96" s="14"/>
      <c r="CEL96" s="14"/>
      <c r="CEM96" s="14"/>
      <c r="CEN96" s="14"/>
      <c r="CEO96" s="14"/>
      <c r="CEP96" s="14"/>
      <c r="CEQ96" s="14"/>
      <c r="CER96" s="14"/>
      <c r="CES96" s="14"/>
      <c r="CET96" s="14"/>
      <c r="CEU96" s="14"/>
      <c r="CEV96" s="14"/>
      <c r="CEW96" s="14"/>
      <c r="CEX96" s="14"/>
      <c r="CEY96" s="14"/>
      <c r="CEZ96" s="14"/>
      <c r="CFA96" s="14"/>
      <c r="CFB96" s="14"/>
      <c r="CFC96" s="14"/>
      <c r="CFD96" s="14"/>
      <c r="CFE96" s="14"/>
      <c r="CFF96" s="14"/>
      <c r="CFG96" s="14"/>
      <c r="CFH96" s="14"/>
      <c r="CFI96" s="14"/>
      <c r="CFJ96" s="14"/>
      <c r="CFK96" s="14"/>
      <c r="CFL96" s="14"/>
      <c r="CFM96" s="14"/>
      <c r="CFN96" s="14"/>
      <c r="CFO96" s="14"/>
      <c r="CFP96" s="14"/>
      <c r="CFQ96" s="14"/>
      <c r="CFR96" s="14"/>
      <c r="CFS96" s="14"/>
      <c r="CFT96" s="14"/>
      <c r="CFU96" s="14"/>
      <c r="CFV96" s="14"/>
      <c r="CFW96" s="14"/>
      <c r="CFX96" s="14"/>
      <c r="CFY96" s="14"/>
      <c r="CFZ96" s="14"/>
      <c r="CGA96" s="14"/>
      <c r="CGB96" s="14"/>
      <c r="CGC96" s="14"/>
      <c r="CGD96" s="14"/>
      <c r="CGE96" s="14"/>
      <c r="CGF96" s="14"/>
      <c r="CGG96" s="14"/>
      <c r="CGH96" s="14"/>
      <c r="CGI96" s="14"/>
      <c r="CGJ96" s="14"/>
      <c r="CGK96" s="14"/>
      <c r="CGL96" s="14"/>
      <c r="CGM96" s="14"/>
      <c r="CGN96" s="14"/>
      <c r="CGO96" s="14"/>
      <c r="CGP96" s="14"/>
      <c r="CGQ96" s="14"/>
      <c r="CGR96" s="14"/>
      <c r="CGS96" s="14"/>
      <c r="CGT96" s="14"/>
      <c r="CGU96" s="14"/>
      <c r="CGV96" s="14"/>
      <c r="CGW96" s="14"/>
      <c r="CGX96" s="14"/>
      <c r="CGY96" s="14"/>
      <c r="CGZ96" s="14"/>
      <c r="CHA96" s="14"/>
      <c r="CHB96" s="14"/>
      <c r="CHC96" s="14"/>
      <c r="CHD96" s="14"/>
      <c r="CHE96" s="14"/>
      <c r="CHF96" s="14"/>
      <c r="CHG96" s="14"/>
      <c r="CHH96" s="14"/>
      <c r="CHI96" s="14"/>
      <c r="CHJ96" s="14"/>
      <c r="CHK96" s="14"/>
      <c r="CHL96" s="14"/>
      <c r="CHM96" s="14"/>
      <c r="CHN96" s="14"/>
      <c r="CHO96" s="14"/>
      <c r="CHP96" s="14"/>
      <c r="CHQ96" s="14"/>
      <c r="CHR96" s="14"/>
      <c r="CHS96" s="14"/>
      <c r="CHT96" s="14"/>
      <c r="CHU96" s="14"/>
      <c r="CHV96" s="14"/>
      <c r="CHW96" s="14"/>
      <c r="CHX96" s="14"/>
      <c r="CHY96" s="14"/>
      <c r="CHZ96" s="14"/>
      <c r="CIA96" s="14"/>
      <c r="CIB96" s="14"/>
      <c r="CIC96" s="14"/>
      <c r="CID96" s="14"/>
      <c r="CIE96" s="14"/>
      <c r="CIF96" s="14"/>
      <c r="CIG96" s="14"/>
      <c r="CIH96" s="14"/>
      <c r="CII96" s="14"/>
      <c r="CIJ96" s="14"/>
      <c r="CIK96" s="14"/>
      <c r="CIL96" s="14"/>
      <c r="CIM96" s="14"/>
      <c r="CIN96" s="14"/>
      <c r="CIO96" s="14"/>
      <c r="CIP96" s="14"/>
      <c r="CIQ96" s="14"/>
      <c r="CIR96" s="14"/>
      <c r="CIS96" s="14"/>
      <c r="CIT96" s="14"/>
      <c r="CIU96" s="14"/>
      <c r="CIV96" s="14"/>
      <c r="CIW96" s="14"/>
      <c r="CIX96" s="14"/>
      <c r="CIY96" s="14"/>
      <c r="CIZ96" s="14"/>
      <c r="CJA96" s="14"/>
      <c r="CJB96" s="14"/>
      <c r="CJC96" s="14"/>
      <c r="CJD96" s="14"/>
      <c r="CJE96" s="14"/>
      <c r="CJF96" s="14"/>
      <c r="CJG96" s="14"/>
      <c r="CJH96" s="14"/>
      <c r="CJI96" s="14"/>
      <c r="CJJ96" s="14"/>
      <c r="CJK96" s="14"/>
      <c r="CJL96" s="14"/>
      <c r="CJM96" s="14"/>
      <c r="CJN96" s="14"/>
      <c r="CJO96" s="14"/>
      <c r="CJP96" s="14"/>
      <c r="CJQ96" s="14"/>
      <c r="CJR96" s="14"/>
      <c r="CJS96" s="14"/>
      <c r="CJT96" s="14"/>
      <c r="CJU96" s="14"/>
      <c r="CJV96" s="14"/>
      <c r="CJW96" s="14"/>
      <c r="CJX96" s="14"/>
      <c r="CJY96" s="14"/>
      <c r="CJZ96" s="14"/>
      <c r="CKA96" s="14"/>
      <c r="CKB96" s="14"/>
      <c r="CKC96" s="14"/>
      <c r="CKD96" s="14"/>
      <c r="CKE96" s="14"/>
      <c r="CKF96" s="14"/>
      <c r="CKG96" s="14"/>
      <c r="CKH96" s="14"/>
      <c r="CKI96" s="14"/>
      <c r="CKJ96" s="14"/>
      <c r="CKK96" s="14"/>
      <c r="CKL96" s="14"/>
      <c r="CKM96" s="14"/>
      <c r="CKN96" s="14"/>
      <c r="CKO96" s="14"/>
      <c r="CKP96" s="14"/>
      <c r="CKQ96" s="14"/>
      <c r="CKR96" s="14"/>
      <c r="CKS96" s="14"/>
      <c r="CKT96" s="14"/>
      <c r="CKU96" s="14"/>
      <c r="CKV96" s="14"/>
      <c r="CKW96" s="14"/>
      <c r="CKX96" s="14"/>
      <c r="CKY96" s="14"/>
      <c r="CKZ96" s="14"/>
      <c r="CLA96" s="14"/>
      <c r="CLB96" s="14"/>
      <c r="CLC96" s="14"/>
      <c r="CLD96" s="14"/>
      <c r="CLE96" s="14"/>
      <c r="CLF96" s="14"/>
      <c r="CLG96" s="14"/>
      <c r="CLH96" s="14"/>
      <c r="CLI96" s="14"/>
      <c r="CLJ96" s="14"/>
      <c r="CLK96" s="14"/>
      <c r="CLL96" s="14"/>
      <c r="CLM96" s="14"/>
      <c r="CLN96" s="14"/>
      <c r="CLO96" s="14"/>
      <c r="CLP96" s="14"/>
      <c r="CLQ96" s="14"/>
      <c r="CLR96" s="14"/>
      <c r="CLS96" s="14"/>
      <c r="CLT96" s="14"/>
      <c r="CLU96" s="14"/>
      <c r="CLV96" s="14"/>
      <c r="CLW96" s="14"/>
      <c r="CLX96" s="14"/>
      <c r="CLY96" s="14"/>
      <c r="CLZ96" s="14"/>
      <c r="CMA96" s="14"/>
      <c r="CMB96" s="14"/>
      <c r="CMC96" s="14"/>
      <c r="CMD96" s="14"/>
      <c r="CME96" s="14"/>
      <c r="CMF96" s="14"/>
      <c r="CMG96" s="14"/>
      <c r="CMH96" s="14"/>
      <c r="CMI96" s="14"/>
      <c r="CMJ96" s="14"/>
      <c r="CMK96" s="14"/>
      <c r="CML96" s="14"/>
      <c r="CMM96" s="14"/>
      <c r="CMN96" s="14"/>
      <c r="CMO96" s="14"/>
      <c r="CMP96" s="14"/>
      <c r="CMQ96" s="14"/>
      <c r="CMR96" s="14"/>
      <c r="CMS96" s="14"/>
      <c r="CMT96" s="14"/>
      <c r="CMU96" s="14"/>
      <c r="CMV96" s="14"/>
      <c r="CMW96" s="14"/>
      <c r="CMX96" s="14"/>
      <c r="CMY96" s="14"/>
      <c r="CMZ96" s="14"/>
      <c r="CNA96" s="14"/>
      <c r="CNB96" s="14"/>
      <c r="CNC96" s="14"/>
      <c r="CND96" s="14"/>
      <c r="CNE96" s="14"/>
      <c r="CNF96" s="14"/>
      <c r="CNG96" s="14"/>
      <c r="CNH96" s="14"/>
      <c r="CNI96" s="14"/>
      <c r="CNJ96" s="14"/>
      <c r="CNK96" s="14"/>
      <c r="CNL96" s="14"/>
      <c r="CNM96" s="14"/>
      <c r="CNN96" s="14"/>
      <c r="CNO96" s="14"/>
      <c r="CNP96" s="14"/>
      <c r="CNQ96" s="14"/>
      <c r="CNR96" s="14"/>
      <c r="CNS96" s="14"/>
      <c r="CNT96" s="14"/>
      <c r="CNU96" s="14"/>
      <c r="CNV96" s="14"/>
      <c r="CNW96" s="14"/>
      <c r="CNX96" s="14"/>
      <c r="CNY96" s="14"/>
      <c r="CNZ96" s="14"/>
      <c r="COA96" s="14"/>
      <c r="COB96" s="14"/>
      <c r="COC96" s="14"/>
      <c r="COD96" s="14"/>
      <c r="COE96" s="14"/>
      <c r="COF96" s="14"/>
      <c r="COG96" s="14"/>
      <c r="COH96" s="14"/>
      <c r="COI96" s="14"/>
      <c r="COJ96" s="14"/>
      <c r="COK96" s="14"/>
      <c r="COL96" s="14"/>
      <c r="COM96" s="14"/>
      <c r="CON96" s="14"/>
      <c r="COO96" s="14"/>
      <c r="COP96" s="14"/>
      <c r="COQ96" s="14"/>
      <c r="COR96" s="14"/>
      <c r="COS96" s="14"/>
      <c r="COT96" s="14"/>
      <c r="COU96" s="14"/>
      <c r="COV96" s="14"/>
      <c r="COW96" s="14"/>
      <c r="COX96" s="14"/>
      <c r="COY96" s="14"/>
      <c r="COZ96" s="14"/>
      <c r="CPA96" s="14"/>
      <c r="CPB96" s="14"/>
      <c r="CPC96" s="14"/>
      <c r="CPD96" s="14"/>
      <c r="CPE96" s="14"/>
      <c r="CPF96" s="14"/>
      <c r="CPG96" s="14"/>
      <c r="CPH96" s="14"/>
      <c r="CPI96" s="14"/>
      <c r="CPJ96" s="14"/>
      <c r="CPK96" s="14"/>
      <c r="CPL96" s="14"/>
      <c r="CPM96" s="14"/>
      <c r="CPN96" s="14"/>
      <c r="CPO96" s="14"/>
      <c r="CPP96" s="14"/>
      <c r="CPQ96" s="14"/>
      <c r="CPR96" s="14"/>
      <c r="CPS96" s="14"/>
      <c r="CPT96" s="14"/>
      <c r="CPU96" s="14"/>
      <c r="CPV96" s="14"/>
      <c r="CPW96" s="14"/>
      <c r="CPX96" s="14"/>
      <c r="CPY96" s="14"/>
      <c r="CPZ96" s="14"/>
      <c r="CQA96" s="14"/>
      <c r="CQB96" s="14"/>
      <c r="CQC96" s="14"/>
      <c r="CQD96" s="14"/>
      <c r="CQE96" s="14"/>
      <c r="CQF96" s="14"/>
      <c r="CQG96" s="14"/>
      <c r="CQH96" s="14"/>
      <c r="CQI96" s="14"/>
      <c r="CQJ96" s="14"/>
      <c r="CQK96" s="14"/>
      <c r="CQL96" s="14"/>
      <c r="CQM96" s="14"/>
      <c r="CQN96" s="14"/>
      <c r="CQO96" s="14"/>
      <c r="CQP96" s="14"/>
      <c r="CQQ96" s="14"/>
      <c r="CQR96" s="14"/>
      <c r="CQS96" s="14"/>
      <c r="CQT96" s="14"/>
      <c r="CQU96" s="14"/>
      <c r="CQV96" s="14"/>
      <c r="CQW96" s="14"/>
      <c r="CQX96" s="14"/>
      <c r="CQY96" s="14"/>
      <c r="CQZ96" s="14"/>
      <c r="CRA96" s="14"/>
      <c r="CRB96" s="14"/>
      <c r="CRC96" s="14"/>
      <c r="CRD96" s="14"/>
      <c r="CRE96" s="14"/>
      <c r="CRF96" s="14"/>
      <c r="CRG96" s="14"/>
      <c r="CRH96" s="14"/>
      <c r="CRI96" s="14"/>
      <c r="CRJ96" s="14"/>
      <c r="CRK96" s="14"/>
      <c r="CRL96" s="14"/>
      <c r="CRM96" s="14"/>
      <c r="CRN96" s="14"/>
      <c r="CRO96" s="14"/>
      <c r="CRP96" s="14"/>
      <c r="CRQ96" s="14"/>
      <c r="CRR96" s="14"/>
      <c r="CRS96" s="14"/>
      <c r="CRT96" s="14"/>
      <c r="CRU96" s="14"/>
      <c r="CRV96" s="14"/>
      <c r="CRW96" s="14"/>
      <c r="CRX96" s="14"/>
      <c r="CRY96" s="14"/>
      <c r="CRZ96" s="14"/>
      <c r="CSA96" s="14"/>
      <c r="CSB96" s="14"/>
      <c r="CSC96" s="14"/>
      <c r="CSD96" s="14"/>
      <c r="CSE96" s="14"/>
      <c r="CSF96" s="14"/>
      <c r="CSG96" s="14"/>
      <c r="CSH96" s="14"/>
      <c r="CSI96" s="14"/>
      <c r="CSJ96" s="14"/>
      <c r="CSK96" s="14"/>
      <c r="CSL96" s="14"/>
      <c r="CSM96" s="14"/>
      <c r="CSN96" s="14"/>
      <c r="CSO96" s="14"/>
      <c r="CSP96" s="14"/>
      <c r="CSQ96" s="14"/>
      <c r="CSR96" s="14"/>
      <c r="CSS96" s="14"/>
      <c r="CST96" s="14"/>
      <c r="CSU96" s="14"/>
      <c r="CSV96" s="14"/>
      <c r="CSW96" s="14"/>
      <c r="CSX96" s="14"/>
      <c r="CSY96" s="14"/>
      <c r="CSZ96" s="14"/>
      <c r="CTA96" s="14"/>
      <c r="CTB96" s="14"/>
      <c r="CTC96" s="14"/>
      <c r="CTD96" s="14"/>
      <c r="CTE96" s="14"/>
      <c r="CTF96" s="14"/>
      <c r="CTG96" s="14"/>
      <c r="CTH96" s="14"/>
      <c r="CTI96" s="14"/>
      <c r="CTJ96" s="14"/>
      <c r="CTK96" s="14"/>
      <c r="CTL96" s="14"/>
      <c r="CTM96" s="14"/>
      <c r="CTN96" s="14"/>
      <c r="CTO96" s="14"/>
      <c r="CTP96" s="14"/>
      <c r="CTQ96" s="14"/>
      <c r="CTR96" s="14"/>
      <c r="CTS96" s="14"/>
      <c r="CTT96" s="14"/>
      <c r="CTU96" s="14"/>
      <c r="CTV96" s="14"/>
      <c r="CTW96" s="14"/>
      <c r="CTX96" s="14"/>
      <c r="CTY96" s="14"/>
      <c r="CTZ96" s="14"/>
      <c r="CUA96" s="14"/>
      <c r="CUB96" s="14"/>
      <c r="CUC96" s="14"/>
      <c r="CUD96" s="14"/>
      <c r="CUE96" s="14"/>
      <c r="CUF96" s="14"/>
      <c r="CUG96" s="14"/>
      <c r="CUH96" s="14"/>
      <c r="CUI96" s="14"/>
      <c r="CUJ96" s="14"/>
      <c r="CUK96" s="14"/>
      <c r="CUL96" s="14"/>
      <c r="CUM96" s="14"/>
      <c r="CUN96" s="14"/>
      <c r="CUO96" s="14"/>
      <c r="CUP96" s="14"/>
      <c r="CUQ96" s="14"/>
      <c r="CUR96" s="14"/>
      <c r="CUS96" s="14"/>
      <c r="CUT96" s="14"/>
      <c r="CUU96" s="14"/>
      <c r="CUV96" s="14"/>
      <c r="CUW96" s="14"/>
      <c r="CUX96" s="14"/>
      <c r="CUY96" s="14"/>
      <c r="CUZ96" s="14"/>
      <c r="CVA96" s="14"/>
      <c r="CVB96" s="14"/>
      <c r="CVC96" s="14"/>
      <c r="CVD96" s="14"/>
      <c r="CVE96" s="14"/>
      <c r="CVF96" s="14"/>
      <c r="CVG96" s="14"/>
      <c r="CVH96" s="14"/>
      <c r="CVI96" s="14"/>
      <c r="CVJ96" s="14"/>
      <c r="CVK96" s="14"/>
      <c r="CVL96" s="14"/>
      <c r="CVM96" s="14"/>
      <c r="CVN96" s="14"/>
      <c r="CVO96" s="14"/>
      <c r="CVP96" s="14"/>
      <c r="CVQ96" s="14"/>
      <c r="CVR96" s="14"/>
      <c r="CVS96" s="14"/>
      <c r="CVT96" s="14"/>
      <c r="CVU96" s="14"/>
      <c r="CVV96" s="14"/>
      <c r="CVW96" s="14"/>
      <c r="CVX96" s="14"/>
      <c r="CVY96" s="14"/>
      <c r="CVZ96" s="14"/>
      <c r="CWA96" s="14"/>
      <c r="CWB96" s="14"/>
      <c r="CWC96" s="14"/>
      <c r="CWD96" s="14"/>
      <c r="CWE96" s="14"/>
      <c r="CWF96" s="14"/>
      <c r="CWG96" s="14"/>
      <c r="CWH96" s="14"/>
      <c r="CWI96" s="14"/>
      <c r="CWJ96" s="14"/>
      <c r="CWK96" s="14"/>
      <c r="CWL96" s="14"/>
      <c r="CWM96" s="14"/>
      <c r="CWN96" s="14"/>
      <c r="CWO96" s="14"/>
      <c r="CWP96" s="14"/>
      <c r="CWQ96" s="14"/>
      <c r="CWR96" s="14"/>
      <c r="CWS96" s="14"/>
      <c r="CWT96" s="14"/>
      <c r="CWU96" s="14"/>
      <c r="CWV96" s="14"/>
      <c r="CWW96" s="14"/>
      <c r="CWX96" s="14"/>
      <c r="CWY96" s="14"/>
      <c r="CWZ96" s="14"/>
      <c r="CXA96" s="14"/>
      <c r="CXB96" s="14"/>
      <c r="CXC96" s="14"/>
      <c r="CXD96" s="14"/>
      <c r="CXE96" s="14"/>
      <c r="CXF96" s="14"/>
      <c r="CXG96" s="14"/>
      <c r="CXH96" s="14"/>
      <c r="CXI96" s="14"/>
      <c r="CXJ96" s="14"/>
      <c r="CXK96" s="14"/>
      <c r="CXL96" s="14"/>
      <c r="CXM96" s="14"/>
      <c r="CXN96" s="14"/>
      <c r="CXO96" s="14"/>
      <c r="CXP96" s="14"/>
      <c r="CXQ96" s="14"/>
      <c r="CXR96" s="14"/>
      <c r="CXS96" s="14"/>
      <c r="CXT96" s="14"/>
      <c r="CXU96" s="14"/>
      <c r="CXV96" s="14"/>
      <c r="CXW96" s="14"/>
      <c r="CXX96" s="14"/>
      <c r="CXY96" s="14"/>
      <c r="CXZ96" s="14"/>
      <c r="CYA96" s="14"/>
      <c r="CYB96" s="14"/>
      <c r="CYC96" s="14"/>
      <c r="CYD96" s="14"/>
      <c r="CYE96" s="14"/>
      <c r="CYF96" s="14"/>
      <c r="CYG96" s="14"/>
      <c r="CYH96" s="14"/>
      <c r="CYI96" s="14"/>
      <c r="CYJ96" s="14"/>
      <c r="CYK96" s="14"/>
      <c r="CYL96" s="14"/>
      <c r="CYM96" s="14"/>
      <c r="CYN96" s="14"/>
      <c r="CYO96" s="14"/>
      <c r="CYP96" s="14"/>
      <c r="CYQ96" s="14"/>
      <c r="CYR96" s="14"/>
      <c r="CYS96" s="14"/>
      <c r="CYT96" s="14"/>
      <c r="CYU96" s="14"/>
      <c r="CYV96" s="14"/>
      <c r="CYW96" s="14"/>
      <c r="CYX96" s="14"/>
      <c r="CYY96" s="14"/>
      <c r="CYZ96" s="14"/>
      <c r="CZA96" s="14"/>
      <c r="CZB96" s="14"/>
      <c r="CZC96" s="14"/>
      <c r="CZD96" s="14"/>
      <c r="CZE96" s="14"/>
      <c r="CZF96" s="14"/>
      <c r="CZG96" s="14"/>
      <c r="CZH96" s="14"/>
      <c r="CZI96" s="14"/>
      <c r="CZJ96" s="14"/>
      <c r="CZK96" s="14"/>
      <c r="CZL96" s="14"/>
      <c r="CZM96" s="14"/>
      <c r="CZN96" s="14"/>
      <c r="CZO96" s="14"/>
      <c r="CZP96" s="14"/>
      <c r="CZQ96" s="14"/>
      <c r="CZR96" s="14"/>
      <c r="CZS96" s="14"/>
      <c r="CZT96" s="14"/>
      <c r="CZU96" s="14"/>
      <c r="CZV96" s="14"/>
      <c r="CZW96" s="14"/>
      <c r="CZX96" s="14"/>
      <c r="CZY96" s="14"/>
      <c r="CZZ96" s="14"/>
      <c r="DAA96" s="14"/>
      <c r="DAB96" s="14"/>
      <c r="DAC96" s="14"/>
      <c r="DAD96" s="14"/>
      <c r="DAE96" s="14"/>
      <c r="DAF96" s="14"/>
      <c r="DAG96" s="14"/>
      <c r="DAH96" s="14"/>
      <c r="DAI96" s="14"/>
      <c r="DAJ96" s="14"/>
      <c r="DAK96" s="14"/>
      <c r="DAL96" s="14"/>
      <c r="DAM96" s="14"/>
      <c r="DAN96" s="14"/>
      <c r="DAO96" s="14"/>
      <c r="DAP96" s="14"/>
      <c r="DAQ96" s="14"/>
      <c r="DAR96" s="14"/>
      <c r="DAS96" s="14"/>
      <c r="DAT96" s="14"/>
      <c r="DAU96" s="14"/>
      <c r="DAV96" s="14"/>
      <c r="DAW96" s="14"/>
      <c r="DAX96" s="14"/>
      <c r="DAY96" s="14"/>
      <c r="DAZ96" s="14"/>
      <c r="DBA96" s="14"/>
      <c r="DBB96" s="14"/>
      <c r="DBC96" s="14"/>
      <c r="DBD96" s="14"/>
      <c r="DBE96" s="14"/>
      <c r="DBF96" s="14"/>
      <c r="DBG96" s="14"/>
      <c r="DBH96" s="14"/>
      <c r="DBI96" s="14"/>
      <c r="DBJ96" s="14"/>
      <c r="DBK96" s="14"/>
      <c r="DBL96" s="14"/>
      <c r="DBM96" s="14"/>
      <c r="DBN96" s="14"/>
      <c r="DBO96" s="14"/>
      <c r="DBP96" s="14"/>
      <c r="DBQ96" s="14"/>
      <c r="DBR96" s="14"/>
      <c r="DBS96" s="14"/>
      <c r="DBT96" s="14"/>
      <c r="DBU96" s="14"/>
      <c r="DBV96" s="14"/>
      <c r="DBW96" s="14"/>
      <c r="DBX96" s="14"/>
      <c r="DBY96" s="14"/>
      <c r="DBZ96" s="14"/>
      <c r="DCA96" s="14"/>
      <c r="DCB96" s="14"/>
      <c r="DCC96" s="14"/>
      <c r="DCD96" s="14"/>
      <c r="DCE96" s="14"/>
      <c r="DCF96" s="14"/>
      <c r="DCG96" s="14"/>
      <c r="DCH96" s="14"/>
      <c r="DCI96" s="14"/>
      <c r="DCJ96" s="14"/>
      <c r="DCK96" s="14"/>
      <c r="DCL96" s="14"/>
      <c r="DCM96" s="14"/>
      <c r="DCN96" s="14"/>
      <c r="DCO96" s="14"/>
      <c r="DCP96" s="14"/>
      <c r="DCQ96" s="14"/>
      <c r="DCR96" s="14"/>
      <c r="DCS96" s="14"/>
      <c r="DCT96" s="14"/>
      <c r="DCU96" s="14"/>
      <c r="DCV96" s="14"/>
      <c r="DCW96" s="14"/>
      <c r="DCX96" s="14"/>
      <c r="DCY96" s="14"/>
      <c r="DCZ96" s="14"/>
      <c r="DDA96" s="14"/>
      <c r="DDB96" s="14"/>
      <c r="DDC96" s="14"/>
      <c r="DDD96" s="14"/>
      <c r="DDE96" s="14"/>
      <c r="DDF96" s="14"/>
      <c r="DDG96" s="14"/>
      <c r="DDH96" s="14"/>
      <c r="DDI96" s="14"/>
      <c r="DDJ96" s="14"/>
      <c r="DDK96" s="14"/>
      <c r="DDL96" s="14"/>
      <c r="DDM96" s="14"/>
      <c r="DDN96" s="14"/>
      <c r="DDO96" s="14"/>
      <c r="DDP96" s="14"/>
      <c r="DDQ96" s="14"/>
      <c r="DDR96" s="14"/>
      <c r="DDS96" s="14"/>
      <c r="DDT96" s="14"/>
      <c r="DDU96" s="14"/>
      <c r="DDV96" s="14"/>
      <c r="DDW96" s="14"/>
      <c r="DDX96" s="14"/>
      <c r="DDY96" s="14"/>
      <c r="DDZ96" s="14"/>
      <c r="DEA96" s="14"/>
      <c r="DEB96" s="14"/>
      <c r="DEC96" s="14"/>
      <c r="DED96" s="14"/>
      <c r="DEE96" s="14"/>
      <c r="DEF96" s="14"/>
      <c r="DEG96" s="14"/>
      <c r="DEH96" s="14"/>
      <c r="DEI96" s="14"/>
      <c r="DEJ96" s="14"/>
      <c r="DEK96" s="14"/>
      <c r="DEL96" s="14"/>
      <c r="DEM96" s="14"/>
      <c r="DEN96" s="14"/>
      <c r="DEO96" s="14"/>
      <c r="DEP96" s="14"/>
      <c r="DEQ96" s="14"/>
      <c r="DER96" s="14"/>
      <c r="DES96" s="14"/>
      <c r="DET96" s="14"/>
      <c r="DEU96" s="14"/>
      <c r="DEV96" s="14"/>
      <c r="DEW96" s="14"/>
      <c r="DEX96" s="14"/>
      <c r="DEY96" s="14"/>
      <c r="DEZ96" s="14"/>
      <c r="DFA96" s="14"/>
      <c r="DFB96" s="14"/>
      <c r="DFC96" s="14"/>
      <c r="DFD96" s="14"/>
      <c r="DFE96" s="14"/>
      <c r="DFF96" s="14"/>
      <c r="DFG96" s="14"/>
      <c r="DFH96" s="14"/>
      <c r="DFI96" s="14"/>
      <c r="DFJ96" s="14"/>
      <c r="DFK96" s="14"/>
      <c r="DFL96" s="14"/>
      <c r="DFM96" s="14"/>
      <c r="DFN96" s="14"/>
      <c r="DFO96" s="14"/>
      <c r="DFP96" s="14"/>
      <c r="DFQ96" s="14"/>
      <c r="DFR96" s="14"/>
      <c r="DFS96" s="14"/>
      <c r="DFT96" s="14"/>
      <c r="DFU96" s="14"/>
      <c r="DFV96" s="14"/>
      <c r="DFW96" s="14"/>
      <c r="DFX96" s="14"/>
      <c r="DFY96" s="14"/>
      <c r="DFZ96" s="14"/>
      <c r="DGA96" s="14"/>
      <c r="DGB96" s="14"/>
      <c r="DGC96" s="14"/>
      <c r="DGD96" s="14"/>
      <c r="DGE96" s="14"/>
      <c r="DGF96" s="14"/>
      <c r="DGG96" s="14"/>
      <c r="DGH96" s="14"/>
      <c r="DGI96" s="14"/>
      <c r="DGJ96" s="14"/>
      <c r="DGK96" s="14"/>
      <c r="DGL96" s="14"/>
      <c r="DGM96" s="14"/>
      <c r="DGN96" s="14"/>
      <c r="DGO96" s="14"/>
      <c r="DGP96" s="14"/>
      <c r="DGQ96" s="14"/>
      <c r="DGR96" s="14"/>
      <c r="DGS96" s="14"/>
      <c r="DGT96" s="14"/>
      <c r="DGU96" s="14"/>
      <c r="DGV96" s="14"/>
      <c r="DGW96" s="14"/>
      <c r="DGX96" s="14"/>
      <c r="DGY96" s="14"/>
      <c r="DGZ96" s="14"/>
      <c r="DHA96" s="14"/>
      <c r="DHB96" s="14"/>
      <c r="DHC96" s="14"/>
      <c r="DHD96" s="14"/>
      <c r="DHE96" s="14"/>
      <c r="DHF96" s="14"/>
      <c r="DHG96" s="14"/>
      <c r="DHH96" s="14"/>
      <c r="DHI96" s="14"/>
      <c r="DHJ96" s="14"/>
      <c r="DHK96" s="14"/>
      <c r="DHL96" s="14"/>
      <c r="DHM96" s="14"/>
      <c r="DHN96" s="14"/>
      <c r="DHO96" s="14"/>
      <c r="DHP96" s="14"/>
      <c r="DHQ96" s="14"/>
      <c r="DHR96" s="14"/>
      <c r="DHS96" s="14"/>
      <c r="DHT96" s="14"/>
      <c r="DHU96" s="14"/>
      <c r="DHV96" s="14"/>
      <c r="DHW96" s="14"/>
      <c r="DHX96" s="14"/>
      <c r="DHY96" s="14"/>
      <c r="DHZ96" s="14"/>
      <c r="DIA96" s="14"/>
      <c r="DIB96" s="14"/>
      <c r="DIC96" s="14"/>
      <c r="DID96" s="14"/>
      <c r="DIE96" s="14"/>
      <c r="DIF96" s="14"/>
      <c r="DIG96" s="14"/>
      <c r="DIH96" s="14"/>
      <c r="DII96" s="14"/>
      <c r="DIJ96" s="14"/>
      <c r="DIK96" s="14"/>
      <c r="DIL96" s="14"/>
      <c r="DIM96" s="14"/>
      <c r="DIN96" s="14"/>
      <c r="DIO96" s="14"/>
      <c r="DIP96" s="14"/>
      <c r="DIQ96" s="14"/>
      <c r="DIR96" s="14"/>
      <c r="DIS96" s="14"/>
      <c r="DIT96" s="14"/>
      <c r="DIU96" s="14"/>
      <c r="DIV96" s="14"/>
      <c r="DIW96" s="14"/>
      <c r="DIX96" s="14"/>
      <c r="DIY96" s="14"/>
      <c r="DIZ96" s="14"/>
      <c r="DJA96" s="14"/>
      <c r="DJB96" s="14"/>
      <c r="DJC96" s="14"/>
      <c r="DJD96" s="14"/>
      <c r="DJE96" s="14"/>
      <c r="DJF96" s="14"/>
      <c r="DJG96" s="14"/>
      <c r="DJH96" s="14"/>
      <c r="DJI96" s="14"/>
      <c r="DJJ96" s="14"/>
      <c r="DJK96" s="14"/>
      <c r="DJL96" s="14"/>
      <c r="DJM96" s="14"/>
      <c r="DJN96" s="14"/>
      <c r="DJO96" s="14"/>
      <c r="DJP96" s="14"/>
      <c r="DJQ96" s="14"/>
      <c r="DJR96" s="14"/>
      <c r="DJS96" s="14"/>
      <c r="DJT96" s="14"/>
      <c r="DJU96" s="14"/>
      <c r="DJV96" s="14"/>
      <c r="DJW96" s="14"/>
      <c r="DJX96" s="14"/>
      <c r="DJY96" s="14"/>
      <c r="DJZ96" s="14"/>
      <c r="DKA96" s="14"/>
      <c r="DKB96" s="14"/>
      <c r="DKC96" s="14"/>
      <c r="DKD96" s="14"/>
      <c r="DKE96" s="14"/>
      <c r="DKF96" s="14"/>
      <c r="DKG96" s="14"/>
      <c r="DKH96" s="14"/>
      <c r="DKI96" s="14"/>
      <c r="DKJ96" s="14"/>
      <c r="DKK96" s="14"/>
      <c r="DKL96" s="14"/>
      <c r="DKM96" s="14"/>
      <c r="DKN96" s="14"/>
      <c r="DKO96" s="14"/>
      <c r="DKP96" s="14"/>
      <c r="DKQ96" s="14"/>
      <c r="DKR96" s="14"/>
      <c r="DKS96" s="14"/>
      <c r="DKT96" s="14"/>
      <c r="DKU96" s="14"/>
      <c r="DKV96" s="14"/>
      <c r="DKW96" s="14"/>
      <c r="DKX96" s="14"/>
      <c r="DKY96" s="14"/>
      <c r="DKZ96" s="14"/>
      <c r="DLA96" s="14"/>
      <c r="DLB96" s="14"/>
      <c r="DLC96" s="14"/>
      <c r="DLD96" s="14"/>
      <c r="DLE96" s="14"/>
      <c r="DLF96" s="14"/>
      <c r="DLG96" s="14"/>
      <c r="DLH96" s="14"/>
      <c r="DLI96" s="14"/>
      <c r="DLJ96" s="14"/>
      <c r="DLK96" s="14"/>
      <c r="DLL96" s="14"/>
      <c r="DLM96" s="14"/>
      <c r="DLN96" s="14"/>
      <c r="DLO96" s="14"/>
      <c r="DLP96" s="14"/>
      <c r="DLQ96" s="14"/>
      <c r="DLR96" s="14"/>
      <c r="DLS96" s="14"/>
      <c r="DLT96" s="14"/>
      <c r="DLU96" s="14"/>
      <c r="DLV96" s="14"/>
      <c r="DLW96" s="14"/>
      <c r="DLX96" s="14"/>
      <c r="DLY96" s="14"/>
      <c r="DLZ96" s="14"/>
      <c r="DMA96" s="14"/>
      <c r="DMB96" s="14"/>
      <c r="DMC96" s="14"/>
      <c r="DMD96" s="14"/>
      <c r="DME96" s="14"/>
      <c r="DMF96" s="14"/>
      <c r="DMG96" s="14"/>
      <c r="DMH96" s="14"/>
      <c r="DMI96" s="14"/>
      <c r="DMJ96" s="14"/>
      <c r="DMK96" s="14"/>
      <c r="DML96" s="14"/>
      <c r="DMM96" s="14"/>
      <c r="DMN96" s="14"/>
      <c r="DMO96" s="14"/>
      <c r="DMP96" s="14"/>
      <c r="DMQ96" s="14"/>
      <c r="DMR96" s="14"/>
      <c r="DMS96" s="14"/>
      <c r="DMT96" s="14"/>
      <c r="DMU96" s="14"/>
      <c r="DMV96" s="14"/>
      <c r="DMW96" s="14"/>
      <c r="DMX96" s="14"/>
      <c r="DMY96" s="14"/>
      <c r="DMZ96" s="14"/>
      <c r="DNA96" s="14"/>
      <c r="DNB96" s="14"/>
      <c r="DNC96" s="14"/>
      <c r="DND96" s="14"/>
      <c r="DNE96" s="14"/>
      <c r="DNF96" s="14"/>
      <c r="DNG96" s="14"/>
      <c r="DNH96" s="14"/>
      <c r="DNI96" s="14"/>
      <c r="DNJ96" s="14"/>
      <c r="DNK96" s="14"/>
      <c r="DNL96" s="14"/>
      <c r="DNM96" s="14"/>
      <c r="DNN96" s="14"/>
      <c r="DNO96" s="14"/>
      <c r="DNP96" s="14"/>
      <c r="DNQ96" s="14"/>
      <c r="DNR96" s="14"/>
      <c r="DNS96" s="14"/>
      <c r="DNT96" s="14"/>
      <c r="DNU96" s="14"/>
      <c r="DNV96" s="14"/>
      <c r="DNW96" s="14"/>
      <c r="DNX96" s="14"/>
      <c r="DNY96" s="14"/>
      <c r="DNZ96" s="14"/>
      <c r="DOA96" s="14"/>
      <c r="DOB96" s="14"/>
      <c r="DOC96" s="14"/>
      <c r="DOD96" s="14"/>
      <c r="DOE96" s="14"/>
      <c r="DOF96" s="14"/>
      <c r="DOG96" s="14"/>
      <c r="DOH96" s="14"/>
      <c r="DOI96" s="14"/>
      <c r="DOJ96" s="14"/>
      <c r="DOK96" s="14"/>
      <c r="DOL96" s="14"/>
      <c r="DOM96" s="14"/>
      <c r="DON96" s="14"/>
      <c r="DOO96" s="14"/>
      <c r="DOP96" s="14"/>
      <c r="DOQ96" s="14"/>
      <c r="DOR96" s="14"/>
      <c r="DOS96" s="14"/>
      <c r="DOT96" s="14"/>
      <c r="DOU96" s="14"/>
      <c r="DOV96" s="14"/>
      <c r="DOW96" s="14"/>
      <c r="DOX96" s="14"/>
      <c r="DOY96" s="14"/>
      <c r="DOZ96" s="14"/>
      <c r="DPA96" s="14"/>
      <c r="DPB96" s="14"/>
      <c r="DPC96" s="14"/>
      <c r="DPD96" s="14"/>
      <c r="DPE96" s="14"/>
      <c r="DPF96" s="14"/>
      <c r="DPG96" s="14"/>
      <c r="DPH96" s="14"/>
      <c r="DPI96" s="14"/>
      <c r="DPJ96" s="14"/>
      <c r="DPK96" s="14"/>
      <c r="DPL96" s="14"/>
      <c r="DPM96" s="14"/>
      <c r="DPN96" s="14"/>
      <c r="DPO96" s="14"/>
      <c r="DPP96" s="14"/>
      <c r="DPQ96" s="14"/>
      <c r="DPR96" s="14"/>
      <c r="DPS96" s="14"/>
      <c r="DPT96" s="14"/>
      <c r="DPU96" s="14"/>
      <c r="DPV96" s="14"/>
      <c r="DPW96" s="14"/>
      <c r="DPX96" s="14"/>
      <c r="DPY96" s="14"/>
      <c r="DPZ96" s="14"/>
      <c r="DQA96" s="14"/>
      <c r="DQB96" s="14"/>
      <c r="DQC96" s="14"/>
      <c r="DQD96" s="14"/>
      <c r="DQE96" s="14"/>
      <c r="DQF96" s="14"/>
      <c r="DQG96" s="14"/>
      <c r="DQH96" s="14"/>
      <c r="DQI96" s="14"/>
      <c r="DQJ96" s="14"/>
      <c r="DQK96" s="14"/>
      <c r="DQL96" s="14"/>
      <c r="DQM96" s="14"/>
      <c r="DQN96" s="14"/>
      <c r="DQO96" s="14"/>
      <c r="DQP96" s="14"/>
      <c r="DQQ96" s="14"/>
      <c r="DQR96" s="14"/>
      <c r="DQS96" s="14"/>
      <c r="DQT96" s="14"/>
      <c r="DQU96" s="14"/>
      <c r="DQV96" s="14"/>
      <c r="DQW96" s="14"/>
      <c r="DQX96" s="14"/>
      <c r="DQY96" s="14"/>
      <c r="DQZ96" s="14"/>
      <c r="DRA96" s="14"/>
      <c r="DRB96" s="14"/>
      <c r="DRC96" s="14"/>
      <c r="DRD96" s="14"/>
      <c r="DRE96" s="14"/>
      <c r="DRF96" s="14"/>
      <c r="DRG96" s="14"/>
      <c r="DRH96" s="14"/>
      <c r="DRI96" s="14"/>
      <c r="DRJ96" s="14"/>
      <c r="DRK96" s="14"/>
      <c r="DRL96" s="14"/>
      <c r="DRM96" s="14"/>
      <c r="DRN96" s="14"/>
      <c r="DRO96" s="14"/>
      <c r="DRP96" s="14"/>
      <c r="DRQ96" s="14"/>
      <c r="DRR96" s="14"/>
      <c r="DRS96" s="14"/>
      <c r="DRT96" s="14"/>
      <c r="DRU96" s="14"/>
      <c r="DRV96" s="14"/>
      <c r="DRW96" s="14"/>
      <c r="DRX96" s="14"/>
      <c r="DRY96" s="14"/>
      <c r="DRZ96" s="14"/>
      <c r="DSA96" s="14"/>
      <c r="DSB96" s="14"/>
      <c r="DSC96" s="14"/>
      <c r="DSD96" s="14"/>
      <c r="DSE96" s="14"/>
      <c r="DSF96" s="14"/>
      <c r="DSG96" s="14"/>
      <c r="DSH96" s="14"/>
      <c r="DSI96" s="14"/>
      <c r="DSJ96" s="14"/>
      <c r="DSK96" s="14"/>
      <c r="DSL96" s="14"/>
      <c r="DSM96" s="14"/>
      <c r="DSN96" s="14"/>
      <c r="DSO96" s="14"/>
      <c r="DSP96" s="14"/>
      <c r="DSQ96" s="14"/>
      <c r="DSR96" s="14"/>
      <c r="DSS96" s="14"/>
      <c r="DST96" s="14"/>
      <c r="DSU96" s="14"/>
      <c r="DSV96" s="14"/>
      <c r="DSW96" s="14"/>
      <c r="DSX96" s="14"/>
      <c r="DSY96" s="14"/>
      <c r="DSZ96" s="14"/>
      <c r="DTA96" s="14"/>
      <c r="DTB96" s="14"/>
      <c r="DTC96" s="14"/>
      <c r="DTD96" s="14"/>
      <c r="DTE96" s="14"/>
      <c r="DTF96" s="14"/>
      <c r="DTG96" s="14"/>
      <c r="DTH96" s="14"/>
      <c r="DTI96" s="14"/>
      <c r="DTJ96" s="14"/>
      <c r="DTK96" s="14"/>
      <c r="DTL96" s="14"/>
      <c r="DTM96" s="14"/>
      <c r="DTN96" s="14"/>
      <c r="DTO96" s="14"/>
      <c r="DTP96" s="14"/>
      <c r="DTQ96" s="14"/>
      <c r="DTR96" s="14"/>
      <c r="DTS96" s="14"/>
      <c r="DTT96" s="14"/>
      <c r="DTU96" s="14"/>
      <c r="DTV96" s="14"/>
      <c r="DTW96" s="14"/>
      <c r="DTX96" s="14"/>
      <c r="DTY96" s="14"/>
      <c r="DTZ96" s="14"/>
      <c r="DUA96" s="14"/>
      <c r="DUB96" s="14"/>
      <c r="DUC96" s="14"/>
      <c r="DUD96" s="14"/>
      <c r="DUE96" s="14"/>
      <c r="DUF96" s="14"/>
      <c r="DUG96" s="14"/>
      <c r="DUH96" s="14"/>
      <c r="DUI96" s="14"/>
      <c r="DUJ96" s="14"/>
      <c r="DUK96" s="14"/>
      <c r="DUL96" s="14"/>
      <c r="DUM96" s="14"/>
      <c r="DUN96" s="14"/>
      <c r="DUO96" s="14"/>
      <c r="DUP96" s="14"/>
      <c r="DUQ96" s="14"/>
      <c r="DUR96" s="14"/>
      <c r="DUS96" s="14"/>
      <c r="DUT96" s="14"/>
      <c r="DUU96" s="14"/>
      <c r="DUV96" s="14"/>
      <c r="DUW96" s="14"/>
      <c r="DUX96" s="14"/>
      <c r="DUY96" s="14"/>
      <c r="DUZ96" s="14"/>
      <c r="DVA96" s="14"/>
      <c r="DVB96" s="14"/>
      <c r="DVC96" s="14"/>
      <c r="DVD96" s="14"/>
      <c r="DVE96" s="14"/>
      <c r="DVF96" s="14"/>
      <c r="DVG96" s="14"/>
      <c r="DVH96" s="14"/>
      <c r="DVI96" s="14"/>
      <c r="DVJ96" s="14"/>
      <c r="DVK96" s="14"/>
      <c r="DVL96" s="14"/>
      <c r="DVM96" s="14"/>
      <c r="DVN96" s="14"/>
      <c r="DVO96" s="14"/>
      <c r="DVP96" s="14"/>
      <c r="DVQ96" s="14"/>
      <c r="DVR96" s="14"/>
      <c r="DVS96" s="14"/>
      <c r="DVT96" s="14"/>
      <c r="DVU96" s="14"/>
      <c r="DVV96" s="14"/>
      <c r="DVW96" s="14"/>
      <c r="DVX96" s="14"/>
      <c r="DVY96" s="14"/>
      <c r="DVZ96" s="14"/>
      <c r="DWA96" s="14"/>
      <c r="DWB96" s="14"/>
      <c r="DWC96" s="14"/>
      <c r="DWD96" s="14"/>
      <c r="DWE96" s="14"/>
      <c r="DWF96" s="14"/>
      <c r="DWG96" s="14"/>
      <c r="DWH96" s="14"/>
      <c r="DWI96" s="14"/>
      <c r="DWJ96" s="14"/>
      <c r="DWK96" s="14"/>
      <c r="DWL96" s="14"/>
      <c r="DWM96" s="14"/>
      <c r="DWN96" s="14"/>
      <c r="DWO96" s="14"/>
      <c r="DWP96" s="14"/>
      <c r="DWQ96" s="14"/>
      <c r="DWR96" s="14"/>
      <c r="DWS96" s="14"/>
      <c r="DWT96" s="14"/>
      <c r="DWU96" s="14"/>
      <c r="DWV96" s="14"/>
      <c r="DWW96" s="14"/>
      <c r="DWX96" s="14"/>
      <c r="DWY96" s="14"/>
      <c r="DWZ96" s="14"/>
      <c r="DXA96" s="14"/>
      <c r="DXB96" s="14"/>
      <c r="DXC96" s="14"/>
      <c r="DXD96" s="14"/>
      <c r="DXE96" s="14"/>
      <c r="DXF96" s="14"/>
      <c r="DXG96" s="14"/>
      <c r="DXH96" s="14"/>
      <c r="DXI96" s="14"/>
      <c r="DXJ96" s="14"/>
      <c r="DXK96" s="14"/>
      <c r="DXL96" s="14"/>
      <c r="DXM96" s="14"/>
      <c r="DXN96" s="14"/>
      <c r="DXO96" s="14"/>
      <c r="DXP96" s="14"/>
      <c r="DXQ96" s="14"/>
      <c r="DXR96" s="14"/>
      <c r="DXS96" s="14"/>
      <c r="DXT96" s="14"/>
      <c r="DXU96" s="14"/>
      <c r="DXV96" s="14"/>
      <c r="DXW96" s="14"/>
      <c r="DXX96" s="14"/>
      <c r="DXY96" s="14"/>
      <c r="DXZ96" s="14"/>
      <c r="DYA96" s="14"/>
      <c r="DYB96" s="14"/>
      <c r="DYC96" s="14"/>
      <c r="DYD96" s="14"/>
      <c r="DYE96" s="14"/>
      <c r="DYF96" s="14"/>
      <c r="DYG96" s="14"/>
      <c r="DYH96" s="14"/>
      <c r="DYI96" s="14"/>
      <c r="DYJ96" s="14"/>
      <c r="DYK96" s="14"/>
      <c r="DYL96" s="14"/>
      <c r="DYM96" s="14"/>
      <c r="DYN96" s="14"/>
      <c r="DYO96" s="14"/>
      <c r="DYP96" s="14"/>
      <c r="DYQ96" s="14"/>
      <c r="DYR96" s="14"/>
      <c r="DYS96" s="14"/>
      <c r="DYT96" s="14"/>
      <c r="DYU96" s="14"/>
      <c r="DYV96" s="14"/>
      <c r="DYW96" s="14"/>
      <c r="DYX96" s="14"/>
      <c r="DYY96" s="14"/>
      <c r="DYZ96" s="14"/>
      <c r="DZA96" s="14"/>
      <c r="DZB96" s="14"/>
      <c r="DZC96" s="14"/>
      <c r="DZD96" s="14"/>
      <c r="DZE96" s="14"/>
      <c r="DZF96" s="14"/>
      <c r="DZG96" s="14"/>
      <c r="DZH96" s="14"/>
      <c r="DZI96" s="14"/>
      <c r="DZJ96" s="14"/>
      <c r="DZK96" s="14"/>
      <c r="DZL96" s="14"/>
      <c r="DZM96" s="14"/>
      <c r="DZN96" s="14"/>
      <c r="DZO96" s="14"/>
      <c r="DZP96" s="14"/>
      <c r="DZQ96" s="14"/>
      <c r="DZR96" s="14"/>
      <c r="DZS96" s="14"/>
      <c r="DZT96" s="14"/>
      <c r="DZU96" s="14"/>
      <c r="DZV96" s="14"/>
      <c r="DZW96" s="14"/>
      <c r="DZX96" s="14"/>
      <c r="DZY96" s="14"/>
      <c r="DZZ96" s="14"/>
      <c r="EAA96" s="14"/>
      <c r="EAB96" s="14"/>
      <c r="EAC96" s="14"/>
      <c r="EAD96" s="14"/>
      <c r="EAE96" s="14"/>
      <c r="EAF96" s="14"/>
      <c r="EAG96" s="14"/>
      <c r="EAH96" s="14"/>
      <c r="EAI96" s="14"/>
      <c r="EAJ96" s="14"/>
      <c r="EAK96" s="14"/>
      <c r="EAL96" s="14"/>
      <c r="EAM96" s="14"/>
      <c r="EAN96" s="14"/>
      <c r="EAO96" s="14"/>
      <c r="EAP96" s="14"/>
      <c r="EAQ96" s="14"/>
      <c r="EAR96" s="14"/>
      <c r="EAS96" s="14"/>
      <c r="EAT96" s="14"/>
      <c r="EAU96" s="14"/>
      <c r="EAV96" s="14"/>
      <c r="EAW96" s="14"/>
      <c r="EAX96" s="14"/>
      <c r="EAY96" s="14"/>
      <c r="EAZ96" s="14"/>
      <c r="EBA96" s="14"/>
      <c r="EBB96" s="14"/>
      <c r="EBC96" s="14"/>
      <c r="EBD96" s="14"/>
      <c r="EBE96" s="14"/>
      <c r="EBF96" s="14"/>
      <c r="EBG96" s="14"/>
      <c r="EBH96" s="14"/>
      <c r="EBI96" s="14"/>
      <c r="EBJ96" s="14"/>
      <c r="EBK96" s="14"/>
      <c r="EBL96" s="14"/>
      <c r="EBM96" s="14"/>
      <c r="EBN96" s="14"/>
      <c r="EBO96" s="14"/>
      <c r="EBP96" s="14"/>
      <c r="EBQ96" s="14"/>
      <c r="EBR96" s="14"/>
      <c r="EBS96" s="14"/>
      <c r="EBT96" s="14"/>
      <c r="EBU96" s="14"/>
      <c r="EBV96" s="14"/>
      <c r="EBW96" s="14"/>
      <c r="EBX96" s="14"/>
      <c r="EBY96" s="14"/>
      <c r="EBZ96" s="14"/>
      <c r="ECA96" s="14"/>
      <c r="ECB96" s="14"/>
      <c r="ECC96" s="14"/>
      <c r="ECD96" s="14"/>
      <c r="ECE96" s="14"/>
      <c r="ECF96" s="14"/>
      <c r="ECG96" s="14"/>
      <c r="ECH96" s="14"/>
      <c r="ECI96" s="14"/>
      <c r="ECJ96" s="14"/>
      <c r="ECK96" s="14"/>
      <c r="ECL96" s="14"/>
      <c r="ECM96" s="14"/>
      <c r="ECN96" s="14"/>
      <c r="ECO96" s="14"/>
      <c r="ECP96" s="14"/>
      <c r="ECQ96" s="14"/>
      <c r="ECR96" s="14"/>
      <c r="ECS96" s="14"/>
      <c r="ECT96" s="14"/>
      <c r="ECU96" s="14"/>
      <c r="ECV96" s="14"/>
      <c r="ECW96" s="14"/>
      <c r="ECX96" s="14"/>
      <c r="ECY96" s="14"/>
      <c r="ECZ96" s="14"/>
      <c r="EDA96" s="14"/>
      <c r="EDB96" s="14"/>
      <c r="EDC96" s="14"/>
      <c r="EDD96" s="14"/>
      <c r="EDE96" s="14"/>
      <c r="EDF96" s="14"/>
      <c r="EDG96" s="14"/>
      <c r="EDH96" s="14"/>
      <c r="EDI96" s="14"/>
      <c r="EDJ96" s="14"/>
      <c r="EDK96" s="14"/>
      <c r="EDL96" s="14"/>
      <c r="EDM96" s="14"/>
      <c r="EDN96" s="14"/>
      <c r="EDO96" s="14"/>
      <c r="EDP96" s="14"/>
      <c r="EDQ96" s="14"/>
      <c r="EDR96" s="14"/>
      <c r="EDS96" s="14"/>
      <c r="EDT96" s="14"/>
      <c r="EDU96" s="14"/>
      <c r="EDV96" s="14"/>
      <c r="EDW96" s="14"/>
      <c r="EDX96" s="14"/>
      <c r="EDY96" s="14"/>
      <c r="EDZ96" s="14"/>
      <c r="EEA96" s="14"/>
      <c r="EEB96" s="14"/>
      <c r="EEC96" s="14"/>
      <c r="EED96" s="14"/>
      <c r="EEE96" s="14"/>
      <c r="EEF96" s="14"/>
      <c r="EEG96" s="14"/>
      <c r="EEH96" s="14"/>
      <c r="EEI96" s="14"/>
      <c r="EEJ96" s="14"/>
      <c r="EEK96" s="14"/>
      <c r="EEL96" s="14"/>
      <c r="EEM96" s="14"/>
      <c r="EEN96" s="14"/>
      <c r="EEO96" s="14"/>
      <c r="EEP96" s="14"/>
      <c r="EEQ96" s="14"/>
      <c r="EER96" s="14"/>
      <c r="EES96" s="14"/>
      <c r="EET96" s="14"/>
      <c r="EEU96" s="14"/>
      <c r="EEV96" s="14"/>
      <c r="EEW96" s="14"/>
      <c r="EEX96" s="14"/>
      <c r="EEY96" s="14"/>
      <c r="EEZ96" s="14"/>
      <c r="EFA96" s="14"/>
      <c r="EFB96" s="14"/>
      <c r="EFC96" s="14"/>
      <c r="EFD96" s="14"/>
      <c r="EFE96" s="14"/>
      <c r="EFF96" s="14"/>
      <c r="EFG96" s="14"/>
      <c r="EFH96" s="14"/>
      <c r="EFI96" s="14"/>
      <c r="EFJ96" s="14"/>
      <c r="EFK96" s="14"/>
      <c r="EFL96" s="14"/>
      <c r="EFM96" s="14"/>
      <c r="EFN96" s="14"/>
      <c r="EFO96" s="14"/>
      <c r="EFP96" s="14"/>
      <c r="EFQ96" s="14"/>
      <c r="EFR96" s="14"/>
      <c r="EFS96" s="14"/>
      <c r="EFT96" s="14"/>
      <c r="EFU96" s="14"/>
      <c r="EFV96" s="14"/>
      <c r="EFW96" s="14"/>
      <c r="EFX96" s="14"/>
      <c r="EFY96" s="14"/>
      <c r="EFZ96" s="14"/>
      <c r="EGA96" s="14"/>
      <c r="EGB96" s="14"/>
      <c r="EGC96" s="14"/>
      <c r="EGD96" s="14"/>
      <c r="EGE96" s="14"/>
      <c r="EGF96" s="14"/>
      <c r="EGG96" s="14"/>
      <c r="EGH96" s="14"/>
      <c r="EGI96" s="14"/>
      <c r="EGJ96" s="14"/>
      <c r="EGK96" s="14"/>
      <c r="EGL96" s="14"/>
      <c r="EGM96" s="14"/>
      <c r="EGN96" s="14"/>
      <c r="EGO96" s="14"/>
      <c r="EGP96" s="14"/>
      <c r="EGQ96" s="14"/>
      <c r="EGR96" s="14"/>
      <c r="EGS96" s="14"/>
      <c r="EGT96" s="14"/>
      <c r="EGU96" s="14"/>
      <c r="EGV96" s="14"/>
      <c r="EGW96" s="14"/>
      <c r="EGX96" s="14"/>
      <c r="EGY96" s="14"/>
      <c r="EGZ96" s="14"/>
      <c r="EHA96" s="14"/>
      <c r="EHB96" s="14"/>
      <c r="EHC96" s="14"/>
      <c r="EHD96" s="14"/>
      <c r="EHE96" s="14"/>
      <c r="EHF96" s="14"/>
      <c r="EHG96" s="14"/>
      <c r="EHH96" s="14"/>
      <c r="EHI96" s="14"/>
      <c r="EHJ96" s="14"/>
      <c r="EHK96" s="14"/>
      <c r="EHL96" s="14"/>
      <c r="EHM96" s="14"/>
      <c r="EHN96" s="14"/>
      <c r="EHO96" s="14"/>
      <c r="EHP96" s="14"/>
      <c r="EHQ96" s="14"/>
      <c r="EHR96" s="14"/>
      <c r="EHS96" s="14"/>
      <c r="EHT96" s="14"/>
      <c r="EHU96" s="14"/>
      <c r="EHV96" s="14"/>
      <c r="EHW96" s="14"/>
      <c r="EHX96" s="14"/>
      <c r="EHY96" s="14"/>
      <c r="EHZ96" s="14"/>
      <c r="EIA96" s="14"/>
      <c r="EIB96" s="14"/>
      <c r="EIC96" s="14"/>
      <c r="EID96" s="14"/>
      <c r="EIE96" s="14"/>
      <c r="EIF96" s="14"/>
      <c r="EIG96" s="14"/>
      <c r="EIH96" s="14"/>
      <c r="EII96" s="14"/>
      <c r="EIJ96" s="14"/>
      <c r="EIK96" s="14"/>
      <c r="EIL96" s="14"/>
      <c r="EIM96" s="14"/>
      <c r="EIN96" s="14"/>
      <c r="EIO96" s="14"/>
      <c r="EIP96" s="14"/>
      <c r="EIQ96" s="14"/>
      <c r="EIR96" s="14"/>
      <c r="EIS96" s="14"/>
      <c r="EIT96" s="14"/>
      <c r="EIU96" s="14"/>
      <c r="EIV96" s="14"/>
      <c r="EIW96" s="14"/>
      <c r="EIX96" s="14"/>
      <c r="EIY96" s="14"/>
      <c r="EIZ96" s="14"/>
      <c r="EJA96" s="14"/>
      <c r="EJB96" s="14"/>
      <c r="EJC96" s="14"/>
      <c r="EJD96" s="14"/>
      <c r="EJE96" s="14"/>
      <c r="EJF96" s="14"/>
      <c r="EJG96" s="14"/>
      <c r="EJH96" s="14"/>
      <c r="EJI96" s="14"/>
      <c r="EJJ96" s="14"/>
      <c r="EJK96" s="14"/>
      <c r="EJL96" s="14"/>
      <c r="EJM96" s="14"/>
      <c r="EJN96" s="14"/>
      <c r="EJO96" s="14"/>
      <c r="EJP96" s="14"/>
      <c r="EJQ96" s="14"/>
      <c r="EJR96" s="14"/>
      <c r="EJS96" s="14"/>
      <c r="EJT96" s="14"/>
      <c r="EJU96" s="14"/>
      <c r="EJV96" s="14"/>
      <c r="EJW96" s="14"/>
      <c r="EJX96" s="14"/>
      <c r="EJY96" s="14"/>
      <c r="EJZ96" s="14"/>
      <c r="EKA96" s="14"/>
      <c r="EKB96" s="14"/>
      <c r="EKC96" s="14"/>
      <c r="EKD96" s="14"/>
      <c r="EKE96" s="14"/>
      <c r="EKF96" s="14"/>
      <c r="EKG96" s="14"/>
      <c r="EKH96" s="14"/>
      <c r="EKI96" s="14"/>
      <c r="EKJ96" s="14"/>
      <c r="EKK96" s="14"/>
      <c r="EKL96" s="14"/>
      <c r="EKM96" s="14"/>
      <c r="EKN96" s="14"/>
      <c r="EKO96" s="14"/>
      <c r="EKP96" s="14"/>
      <c r="EKQ96" s="14"/>
      <c r="EKR96" s="14"/>
      <c r="EKS96" s="14"/>
      <c r="EKT96" s="14"/>
      <c r="EKU96" s="14"/>
      <c r="EKV96" s="14"/>
      <c r="EKW96" s="14"/>
      <c r="EKX96" s="14"/>
      <c r="EKY96" s="14"/>
      <c r="EKZ96" s="14"/>
      <c r="ELA96" s="14"/>
      <c r="ELB96" s="14"/>
      <c r="ELC96" s="14"/>
      <c r="ELD96" s="14"/>
      <c r="ELE96" s="14"/>
      <c r="ELF96" s="14"/>
      <c r="ELG96" s="14"/>
      <c r="ELH96" s="14"/>
      <c r="ELI96" s="14"/>
      <c r="ELJ96" s="14"/>
      <c r="ELK96" s="14"/>
      <c r="ELL96" s="14"/>
      <c r="ELM96" s="14"/>
      <c r="ELN96" s="14"/>
      <c r="ELO96" s="14"/>
      <c r="ELP96" s="14"/>
      <c r="ELQ96" s="14"/>
      <c r="ELR96" s="14"/>
      <c r="ELS96" s="14"/>
      <c r="ELT96" s="14"/>
      <c r="ELU96" s="14"/>
      <c r="ELV96" s="14"/>
      <c r="ELW96" s="14"/>
      <c r="ELX96" s="14"/>
      <c r="ELY96" s="14"/>
      <c r="ELZ96" s="14"/>
      <c r="EMA96" s="14"/>
      <c r="EMB96" s="14"/>
      <c r="EMC96" s="14"/>
      <c r="EMD96" s="14"/>
      <c r="EME96" s="14"/>
      <c r="EMF96" s="14"/>
      <c r="EMG96" s="14"/>
      <c r="EMH96" s="14"/>
      <c r="EMI96" s="14"/>
      <c r="EMJ96" s="14"/>
      <c r="EMK96" s="14"/>
      <c r="EML96" s="14"/>
      <c r="EMM96" s="14"/>
      <c r="EMN96" s="14"/>
      <c r="EMO96" s="14"/>
      <c r="EMP96" s="14"/>
      <c r="EMQ96" s="14"/>
      <c r="EMR96" s="14"/>
      <c r="EMS96" s="14"/>
      <c r="EMT96" s="14"/>
      <c r="EMU96" s="14"/>
      <c r="EMV96" s="14"/>
      <c r="EMW96" s="14"/>
      <c r="EMX96" s="14"/>
      <c r="EMY96" s="14"/>
      <c r="EMZ96" s="14"/>
      <c r="ENA96" s="14"/>
      <c r="ENB96" s="14"/>
      <c r="ENC96" s="14"/>
      <c r="END96" s="14"/>
      <c r="ENE96" s="14"/>
      <c r="ENF96" s="14"/>
      <c r="ENG96" s="14"/>
      <c r="ENH96" s="14"/>
      <c r="ENI96" s="14"/>
      <c r="ENJ96" s="14"/>
      <c r="ENK96" s="14"/>
      <c r="ENL96" s="14"/>
      <c r="ENM96" s="14"/>
      <c r="ENN96" s="14"/>
      <c r="ENO96" s="14"/>
      <c r="ENP96" s="14"/>
      <c r="ENQ96" s="14"/>
      <c r="ENR96" s="14"/>
      <c r="ENS96" s="14"/>
      <c r="ENT96" s="14"/>
      <c r="ENU96" s="14"/>
      <c r="ENV96" s="14"/>
      <c r="ENW96" s="14"/>
      <c r="ENX96" s="14"/>
      <c r="ENY96" s="14"/>
      <c r="ENZ96" s="14"/>
      <c r="EOA96" s="14"/>
      <c r="EOB96" s="14"/>
      <c r="EOC96" s="14"/>
      <c r="EOD96" s="14"/>
      <c r="EOE96" s="14"/>
      <c r="EOF96" s="14"/>
      <c r="EOG96" s="14"/>
      <c r="EOH96" s="14"/>
      <c r="EOI96" s="14"/>
      <c r="EOJ96" s="14"/>
      <c r="EOK96" s="14"/>
      <c r="EOL96" s="14"/>
      <c r="EOM96" s="14"/>
      <c r="EON96" s="14"/>
      <c r="EOO96" s="14"/>
      <c r="EOP96" s="14"/>
      <c r="EOQ96" s="14"/>
      <c r="EOR96" s="14"/>
      <c r="EOS96" s="14"/>
      <c r="EOT96" s="14"/>
      <c r="EOU96" s="14"/>
      <c r="EOV96" s="14"/>
      <c r="EOW96" s="14"/>
      <c r="EOX96" s="14"/>
      <c r="EOY96" s="14"/>
      <c r="EOZ96" s="14"/>
      <c r="EPA96" s="14"/>
      <c r="EPB96" s="14"/>
      <c r="EPC96" s="14"/>
      <c r="EPD96" s="14"/>
      <c r="EPE96" s="14"/>
      <c r="EPF96" s="14"/>
      <c r="EPG96" s="14"/>
      <c r="EPH96" s="14"/>
      <c r="EPI96" s="14"/>
      <c r="EPJ96" s="14"/>
      <c r="EPK96" s="14"/>
      <c r="EPL96" s="14"/>
      <c r="EPM96" s="14"/>
      <c r="EPN96" s="14"/>
      <c r="EPO96" s="14"/>
      <c r="EPP96" s="14"/>
      <c r="EPQ96" s="14"/>
      <c r="EPR96" s="14"/>
      <c r="EPS96" s="14"/>
      <c r="EPT96" s="14"/>
      <c r="EPU96" s="14"/>
      <c r="EPV96" s="14"/>
      <c r="EPW96" s="14"/>
    </row>
    <row r="97" spans="1:26" x14ac:dyDescent="0.15">
      <c r="A97" s="44"/>
      <c r="V97" s="20"/>
      <c r="W97" s="21"/>
      <c r="X97" s="21"/>
      <c r="Y97" s="21"/>
      <c r="Z97" s="21"/>
    </row>
    <row r="98" spans="1:26" x14ac:dyDescent="0.15">
      <c r="V98" s="20"/>
      <c r="W98" s="21"/>
      <c r="X98" s="21"/>
      <c r="Y98" s="21"/>
      <c r="Z98" s="21"/>
    </row>
    <row r="99" spans="1:26" x14ac:dyDescent="0.15">
      <c r="V99" s="20"/>
      <c r="W99" s="21"/>
      <c r="X99" s="21"/>
      <c r="Y99" s="21"/>
      <c r="Z99" s="21"/>
    </row>
    <row r="100" spans="1:26" x14ac:dyDescent="0.15">
      <c r="V100" s="20"/>
      <c r="W100" s="21"/>
      <c r="X100" s="21"/>
      <c r="Y100" s="21"/>
      <c r="Z100" s="21"/>
    </row>
    <row r="101" spans="1:26" x14ac:dyDescent="0.15">
      <c r="V101" s="20"/>
      <c r="W101" s="21"/>
      <c r="X101" s="21"/>
      <c r="Y101" s="21"/>
      <c r="Z101" s="21"/>
    </row>
    <row r="102" spans="1:26" x14ac:dyDescent="0.15">
      <c r="V102" s="20"/>
      <c r="W102" s="21"/>
      <c r="X102" s="21"/>
      <c r="Y102" s="21"/>
      <c r="Z102" s="21"/>
    </row>
    <row r="103" spans="1:26" x14ac:dyDescent="0.15">
      <c r="V103" s="20"/>
      <c r="W103" s="21"/>
      <c r="X103" s="21"/>
      <c r="Y103" s="21"/>
      <c r="Z103" s="21"/>
    </row>
    <row r="104" spans="1:26" x14ac:dyDescent="0.15">
      <c r="V104" s="20"/>
      <c r="W104" s="21"/>
      <c r="X104" s="21"/>
      <c r="Y104" s="21"/>
      <c r="Z104" s="21"/>
    </row>
    <row r="105" spans="1:26" x14ac:dyDescent="0.15">
      <c r="V105" s="20"/>
      <c r="W105" s="21"/>
      <c r="X105" s="21"/>
      <c r="Y105" s="21"/>
      <c r="Z105" s="21"/>
    </row>
  </sheetData>
  <autoFilter ref="A12:Z96" xr:uid="{1910384D-E817-4D5B-9169-530153147921}"/>
  <mergeCells count="21">
    <mergeCell ref="T9:U10"/>
    <mergeCell ref="V9:V10"/>
    <mergeCell ref="W9:Z9"/>
    <mergeCell ref="P9:Q10"/>
    <mergeCell ref="R9:S10"/>
    <mergeCell ref="A3:Z3"/>
    <mergeCell ref="A4:Z4"/>
    <mergeCell ref="A5:Z5"/>
    <mergeCell ref="A6:Z6"/>
    <mergeCell ref="A7:C7"/>
    <mergeCell ref="A96:F96"/>
    <mergeCell ref="F9:F11"/>
    <mergeCell ref="J9:K10"/>
    <mergeCell ref="L9:M10"/>
    <mergeCell ref="N9:O10"/>
    <mergeCell ref="A9:A11"/>
    <mergeCell ref="B9:B11"/>
    <mergeCell ref="C9:C11"/>
    <mergeCell ref="D9:D11"/>
    <mergeCell ref="E9:E11"/>
    <mergeCell ref="G9:I10"/>
  </mergeCells>
  <phoneticPr fontId="12" type="noConversion"/>
  <printOptions horizontalCentered="1" verticalCentered="1"/>
  <pageMargins left="0.23622047244094491" right="0.23622047244094491" top="0.19685039370078741" bottom="7.874015748031496E-2" header="0.19685039370078741" footer="7.874015748031496E-2"/>
  <pageSetup paperSize="9" scale="24" fitToHeight="0" orientation="landscape" r:id="rId1"/>
  <headerFooter alignWithMargins="0">
    <oddHeader>&amp;C&amp;12PT SUPERINTENDING COMPANY OF INDONESIA</oddHeader>
  </headerFooter>
  <rowBreaks count="1" manualBreakCount="1">
    <brk id="9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1FE9-3547-4767-A49B-D95F16B51164}">
  <sheetPr codeName="Sheet2">
    <tabColor rgb="FF00B050"/>
  </sheetPr>
  <dimension ref="A1:C82"/>
  <sheetViews>
    <sheetView zoomScaleNormal="90" workbookViewId="0">
      <selection activeCell="G79" sqref="G79"/>
    </sheetView>
  </sheetViews>
  <sheetFormatPr baseColWidth="10" defaultColWidth="8.83203125" defaultRowHeight="13" x14ac:dyDescent="0.15"/>
  <cols>
    <col min="1" max="1" width="5.5" style="1" customWidth="1"/>
    <col min="2" max="2" width="32.1640625" style="1" customWidth="1"/>
    <col min="3" max="3" width="9.1640625" style="2" customWidth="1"/>
    <col min="4" max="5" width="8.83203125" style="1"/>
    <col min="6" max="6" width="24" style="1" customWidth="1"/>
    <col min="7" max="256" width="8.83203125" style="1"/>
    <col min="257" max="257" width="5.5" style="1" customWidth="1"/>
    <col min="258" max="258" width="32.1640625" style="1" customWidth="1"/>
    <col min="259" max="259" width="9.1640625" style="1" customWidth="1"/>
    <col min="260" max="261" width="8.83203125" style="1"/>
    <col min="262" max="262" width="24" style="1" customWidth="1"/>
    <col min="263" max="512" width="8.83203125" style="1"/>
    <col min="513" max="513" width="5.5" style="1" customWidth="1"/>
    <col min="514" max="514" width="32.1640625" style="1" customWidth="1"/>
    <col min="515" max="515" width="9.1640625" style="1" customWidth="1"/>
    <col min="516" max="517" width="8.83203125" style="1"/>
    <col min="518" max="518" width="24" style="1" customWidth="1"/>
    <col min="519" max="768" width="8.83203125" style="1"/>
    <col min="769" max="769" width="5.5" style="1" customWidth="1"/>
    <col min="770" max="770" width="32.1640625" style="1" customWidth="1"/>
    <col min="771" max="771" width="9.1640625" style="1" customWidth="1"/>
    <col min="772" max="773" width="8.83203125" style="1"/>
    <col min="774" max="774" width="24" style="1" customWidth="1"/>
    <col min="775" max="1024" width="8.83203125" style="1"/>
    <col min="1025" max="1025" width="5.5" style="1" customWidth="1"/>
    <col min="1026" max="1026" width="32.1640625" style="1" customWidth="1"/>
    <col min="1027" max="1027" width="9.1640625" style="1" customWidth="1"/>
    <col min="1028" max="1029" width="8.83203125" style="1"/>
    <col min="1030" max="1030" width="24" style="1" customWidth="1"/>
    <col min="1031" max="1280" width="8.83203125" style="1"/>
    <col min="1281" max="1281" width="5.5" style="1" customWidth="1"/>
    <col min="1282" max="1282" width="32.1640625" style="1" customWidth="1"/>
    <col min="1283" max="1283" width="9.1640625" style="1" customWidth="1"/>
    <col min="1284" max="1285" width="8.83203125" style="1"/>
    <col min="1286" max="1286" width="24" style="1" customWidth="1"/>
    <col min="1287" max="1536" width="8.83203125" style="1"/>
    <col min="1537" max="1537" width="5.5" style="1" customWidth="1"/>
    <col min="1538" max="1538" width="32.1640625" style="1" customWidth="1"/>
    <col min="1539" max="1539" width="9.1640625" style="1" customWidth="1"/>
    <col min="1540" max="1541" width="8.83203125" style="1"/>
    <col min="1542" max="1542" width="24" style="1" customWidth="1"/>
    <col min="1543" max="1792" width="8.83203125" style="1"/>
    <col min="1793" max="1793" width="5.5" style="1" customWidth="1"/>
    <col min="1794" max="1794" width="32.1640625" style="1" customWidth="1"/>
    <col min="1795" max="1795" width="9.1640625" style="1" customWidth="1"/>
    <col min="1796" max="1797" width="8.83203125" style="1"/>
    <col min="1798" max="1798" width="24" style="1" customWidth="1"/>
    <col min="1799" max="2048" width="8.83203125" style="1"/>
    <col min="2049" max="2049" width="5.5" style="1" customWidth="1"/>
    <col min="2050" max="2050" width="32.1640625" style="1" customWidth="1"/>
    <col min="2051" max="2051" width="9.1640625" style="1" customWidth="1"/>
    <col min="2052" max="2053" width="8.83203125" style="1"/>
    <col min="2054" max="2054" width="24" style="1" customWidth="1"/>
    <col min="2055" max="2304" width="8.83203125" style="1"/>
    <col min="2305" max="2305" width="5.5" style="1" customWidth="1"/>
    <col min="2306" max="2306" width="32.1640625" style="1" customWidth="1"/>
    <col min="2307" max="2307" width="9.1640625" style="1" customWidth="1"/>
    <col min="2308" max="2309" width="8.83203125" style="1"/>
    <col min="2310" max="2310" width="24" style="1" customWidth="1"/>
    <col min="2311" max="2560" width="8.83203125" style="1"/>
    <col min="2561" max="2561" width="5.5" style="1" customWidth="1"/>
    <col min="2562" max="2562" width="32.1640625" style="1" customWidth="1"/>
    <col min="2563" max="2563" width="9.1640625" style="1" customWidth="1"/>
    <col min="2564" max="2565" width="8.83203125" style="1"/>
    <col min="2566" max="2566" width="24" style="1" customWidth="1"/>
    <col min="2567" max="2816" width="8.83203125" style="1"/>
    <col min="2817" max="2817" width="5.5" style="1" customWidth="1"/>
    <col min="2818" max="2818" width="32.1640625" style="1" customWidth="1"/>
    <col min="2819" max="2819" width="9.1640625" style="1" customWidth="1"/>
    <col min="2820" max="2821" width="8.83203125" style="1"/>
    <col min="2822" max="2822" width="24" style="1" customWidth="1"/>
    <col min="2823" max="3072" width="8.83203125" style="1"/>
    <col min="3073" max="3073" width="5.5" style="1" customWidth="1"/>
    <col min="3074" max="3074" width="32.1640625" style="1" customWidth="1"/>
    <col min="3075" max="3075" width="9.1640625" style="1" customWidth="1"/>
    <col min="3076" max="3077" width="8.83203125" style="1"/>
    <col min="3078" max="3078" width="24" style="1" customWidth="1"/>
    <col min="3079" max="3328" width="8.83203125" style="1"/>
    <col min="3329" max="3329" width="5.5" style="1" customWidth="1"/>
    <col min="3330" max="3330" width="32.1640625" style="1" customWidth="1"/>
    <col min="3331" max="3331" width="9.1640625" style="1" customWidth="1"/>
    <col min="3332" max="3333" width="8.83203125" style="1"/>
    <col min="3334" max="3334" width="24" style="1" customWidth="1"/>
    <col min="3335" max="3584" width="8.83203125" style="1"/>
    <col min="3585" max="3585" width="5.5" style="1" customWidth="1"/>
    <col min="3586" max="3586" width="32.1640625" style="1" customWidth="1"/>
    <col min="3587" max="3587" width="9.1640625" style="1" customWidth="1"/>
    <col min="3588" max="3589" width="8.83203125" style="1"/>
    <col min="3590" max="3590" width="24" style="1" customWidth="1"/>
    <col min="3591" max="3840" width="8.83203125" style="1"/>
    <col min="3841" max="3841" width="5.5" style="1" customWidth="1"/>
    <col min="3842" max="3842" width="32.1640625" style="1" customWidth="1"/>
    <col min="3843" max="3843" width="9.1640625" style="1" customWidth="1"/>
    <col min="3844" max="3845" width="8.83203125" style="1"/>
    <col min="3846" max="3846" width="24" style="1" customWidth="1"/>
    <col min="3847" max="4096" width="8.83203125" style="1"/>
    <col min="4097" max="4097" width="5.5" style="1" customWidth="1"/>
    <col min="4098" max="4098" width="32.1640625" style="1" customWidth="1"/>
    <col min="4099" max="4099" width="9.1640625" style="1" customWidth="1"/>
    <col min="4100" max="4101" width="8.83203125" style="1"/>
    <col min="4102" max="4102" width="24" style="1" customWidth="1"/>
    <col min="4103" max="4352" width="8.83203125" style="1"/>
    <col min="4353" max="4353" width="5.5" style="1" customWidth="1"/>
    <col min="4354" max="4354" width="32.1640625" style="1" customWidth="1"/>
    <col min="4355" max="4355" width="9.1640625" style="1" customWidth="1"/>
    <col min="4356" max="4357" width="8.83203125" style="1"/>
    <col min="4358" max="4358" width="24" style="1" customWidth="1"/>
    <col min="4359" max="4608" width="8.83203125" style="1"/>
    <col min="4609" max="4609" width="5.5" style="1" customWidth="1"/>
    <col min="4610" max="4610" width="32.1640625" style="1" customWidth="1"/>
    <col min="4611" max="4611" width="9.1640625" style="1" customWidth="1"/>
    <col min="4612" max="4613" width="8.83203125" style="1"/>
    <col min="4614" max="4614" width="24" style="1" customWidth="1"/>
    <col min="4615" max="4864" width="8.83203125" style="1"/>
    <col min="4865" max="4865" width="5.5" style="1" customWidth="1"/>
    <col min="4866" max="4866" width="32.1640625" style="1" customWidth="1"/>
    <col min="4867" max="4867" width="9.1640625" style="1" customWidth="1"/>
    <col min="4868" max="4869" width="8.83203125" style="1"/>
    <col min="4870" max="4870" width="24" style="1" customWidth="1"/>
    <col min="4871" max="5120" width="8.83203125" style="1"/>
    <col min="5121" max="5121" width="5.5" style="1" customWidth="1"/>
    <col min="5122" max="5122" width="32.1640625" style="1" customWidth="1"/>
    <col min="5123" max="5123" width="9.1640625" style="1" customWidth="1"/>
    <col min="5124" max="5125" width="8.83203125" style="1"/>
    <col min="5126" max="5126" width="24" style="1" customWidth="1"/>
    <col min="5127" max="5376" width="8.83203125" style="1"/>
    <col min="5377" max="5377" width="5.5" style="1" customWidth="1"/>
    <col min="5378" max="5378" width="32.1640625" style="1" customWidth="1"/>
    <col min="5379" max="5379" width="9.1640625" style="1" customWidth="1"/>
    <col min="5380" max="5381" width="8.83203125" style="1"/>
    <col min="5382" max="5382" width="24" style="1" customWidth="1"/>
    <col min="5383" max="5632" width="8.83203125" style="1"/>
    <col min="5633" max="5633" width="5.5" style="1" customWidth="1"/>
    <col min="5634" max="5634" width="32.1640625" style="1" customWidth="1"/>
    <col min="5635" max="5635" width="9.1640625" style="1" customWidth="1"/>
    <col min="5636" max="5637" width="8.83203125" style="1"/>
    <col min="5638" max="5638" width="24" style="1" customWidth="1"/>
    <col min="5639" max="5888" width="8.83203125" style="1"/>
    <col min="5889" max="5889" width="5.5" style="1" customWidth="1"/>
    <col min="5890" max="5890" width="32.1640625" style="1" customWidth="1"/>
    <col min="5891" max="5891" width="9.1640625" style="1" customWidth="1"/>
    <col min="5892" max="5893" width="8.83203125" style="1"/>
    <col min="5894" max="5894" width="24" style="1" customWidth="1"/>
    <col min="5895" max="6144" width="8.83203125" style="1"/>
    <col min="6145" max="6145" width="5.5" style="1" customWidth="1"/>
    <col min="6146" max="6146" width="32.1640625" style="1" customWidth="1"/>
    <col min="6147" max="6147" width="9.1640625" style="1" customWidth="1"/>
    <col min="6148" max="6149" width="8.83203125" style="1"/>
    <col min="6150" max="6150" width="24" style="1" customWidth="1"/>
    <col min="6151" max="6400" width="8.83203125" style="1"/>
    <col min="6401" max="6401" width="5.5" style="1" customWidth="1"/>
    <col min="6402" max="6402" width="32.1640625" style="1" customWidth="1"/>
    <col min="6403" max="6403" width="9.1640625" style="1" customWidth="1"/>
    <col min="6404" max="6405" width="8.83203125" style="1"/>
    <col min="6406" max="6406" width="24" style="1" customWidth="1"/>
    <col min="6407" max="6656" width="8.83203125" style="1"/>
    <col min="6657" max="6657" width="5.5" style="1" customWidth="1"/>
    <col min="6658" max="6658" width="32.1640625" style="1" customWidth="1"/>
    <col min="6659" max="6659" width="9.1640625" style="1" customWidth="1"/>
    <col min="6660" max="6661" width="8.83203125" style="1"/>
    <col min="6662" max="6662" width="24" style="1" customWidth="1"/>
    <col min="6663" max="6912" width="8.83203125" style="1"/>
    <col min="6913" max="6913" width="5.5" style="1" customWidth="1"/>
    <col min="6914" max="6914" width="32.1640625" style="1" customWidth="1"/>
    <col min="6915" max="6915" width="9.1640625" style="1" customWidth="1"/>
    <col min="6916" max="6917" width="8.83203125" style="1"/>
    <col min="6918" max="6918" width="24" style="1" customWidth="1"/>
    <col min="6919" max="7168" width="8.83203125" style="1"/>
    <col min="7169" max="7169" width="5.5" style="1" customWidth="1"/>
    <col min="7170" max="7170" width="32.1640625" style="1" customWidth="1"/>
    <col min="7171" max="7171" width="9.1640625" style="1" customWidth="1"/>
    <col min="7172" max="7173" width="8.83203125" style="1"/>
    <col min="7174" max="7174" width="24" style="1" customWidth="1"/>
    <col min="7175" max="7424" width="8.83203125" style="1"/>
    <col min="7425" max="7425" width="5.5" style="1" customWidth="1"/>
    <col min="7426" max="7426" width="32.1640625" style="1" customWidth="1"/>
    <col min="7427" max="7427" width="9.1640625" style="1" customWidth="1"/>
    <col min="7428" max="7429" width="8.83203125" style="1"/>
    <col min="7430" max="7430" width="24" style="1" customWidth="1"/>
    <col min="7431" max="7680" width="8.83203125" style="1"/>
    <col min="7681" max="7681" width="5.5" style="1" customWidth="1"/>
    <col min="7682" max="7682" width="32.1640625" style="1" customWidth="1"/>
    <col min="7683" max="7683" width="9.1640625" style="1" customWidth="1"/>
    <col min="7684" max="7685" width="8.83203125" style="1"/>
    <col min="7686" max="7686" width="24" style="1" customWidth="1"/>
    <col min="7687" max="7936" width="8.83203125" style="1"/>
    <col min="7937" max="7937" width="5.5" style="1" customWidth="1"/>
    <col min="7938" max="7938" width="32.1640625" style="1" customWidth="1"/>
    <col min="7939" max="7939" width="9.1640625" style="1" customWidth="1"/>
    <col min="7940" max="7941" width="8.83203125" style="1"/>
    <col min="7942" max="7942" width="24" style="1" customWidth="1"/>
    <col min="7943" max="8192" width="8.83203125" style="1"/>
    <col min="8193" max="8193" width="5.5" style="1" customWidth="1"/>
    <col min="8194" max="8194" width="32.1640625" style="1" customWidth="1"/>
    <col min="8195" max="8195" width="9.1640625" style="1" customWidth="1"/>
    <col min="8196" max="8197" width="8.83203125" style="1"/>
    <col min="8198" max="8198" width="24" style="1" customWidth="1"/>
    <col min="8199" max="8448" width="8.83203125" style="1"/>
    <col min="8449" max="8449" width="5.5" style="1" customWidth="1"/>
    <col min="8450" max="8450" width="32.1640625" style="1" customWidth="1"/>
    <col min="8451" max="8451" width="9.1640625" style="1" customWidth="1"/>
    <col min="8452" max="8453" width="8.83203125" style="1"/>
    <col min="8454" max="8454" width="24" style="1" customWidth="1"/>
    <col min="8455" max="8704" width="8.83203125" style="1"/>
    <col min="8705" max="8705" width="5.5" style="1" customWidth="1"/>
    <col min="8706" max="8706" width="32.1640625" style="1" customWidth="1"/>
    <col min="8707" max="8707" width="9.1640625" style="1" customWidth="1"/>
    <col min="8708" max="8709" width="8.83203125" style="1"/>
    <col min="8710" max="8710" width="24" style="1" customWidth="1"/>
    <col min="8711" max="8960" width="8.83203125" style="1"/>
    <col min="8961" max="8961" width="5.5" style="1" customWidth="1"/>
    <col min="8962" max="8962" width="32.1640625" style="1" customWidth="1"/>
    <col min="8963" max="8963" width="9.1640625" style="1" customWidth="1"/>
    <col min="8964" max="8965" width="8.83203125" style="1"/>
    <col min="8966" max="8966" width="24" style="1" customWidth="1"/>
    <col min="8967" max="9216" width="8.83203125" style="1"/>
    <col min="9217" max="9217" width="5.5" style="1" customWidth="1"/>
    <col min="9218" max="9218" width="32.1640625" style="1" customWidth="1"/>
    <col min="9219" max="9219" width="9.1640625" style="1" customWidth="1"/>
    <col min="9220" max="9221" width="8.83203125" style="1"/>
    <col min="9222" max="9222" width="24" style="1" customWidth="1"/>
    <col min="9223" max="9472" width="8.83203125" style="1"/>
    <col min="9473" max="9473" width="5.5" style="1" customWidth="1"/>
    <col min="9474" max="9474" width="32.1640625" style="1" customWidth="1"/>
    <col min="9475" max="9475" width="9.1640625" style="1" customWidth="1"/>
    <col min="9476" max="9477" width="8.83203125" style="1"/>
    <col min="9478" max="9478" width="24" style="1" customWidth="1"/>
    <col min="9479" max="9728" width="8.83203125" style="1"/>
    <col min="9729" max="9729" width="5.5" style="1" customWidth="1"/>
    <col min="9730" max="9730" width="32.1640625" style="1" customWidth="1"/>
    <col min="9731" max="9731" width="9.1640625" style="1" customWidth="1"/>
    <col min="9732" max="9733" width="8.83203125" style="1"/>
    <col min="9734" max="9734" width="24" style="1" customWidth="1"/>
    <col min="9735" max="9984" width="8.83203125" style="1"/>
    <col min="9985" max="9985" width="5.5" style="1" customWidth="1"/>
    <col min="9986" max="9986" width="32.1640625" style="1" customWidth="1"/>
    <col min="9987" max="9987" width="9.1640625" style="1" customWidth="1"/>
    <col min="9988" max="9989" width="8.83203125" style="1"/>
    <col min="9990" max="9990" width="24" style="1" customWidth="1"/>
    <col min="9991" max="10240" width="8.83203125" style="1"/>
    <col min="10241" max="10241" width="5.5" style="1" customWidth="1"/>
    <col min="10242" max="10242" width="32.1640625" style="1" customWidth="1"/>
    <col min="10243" max="10243" width="9.1640625" style="1" customWidth="1"/>
    <col min="10244" max="10245" width="8.83203125" style="1"/>
    <col min="10246" max="10246" width="24" style="1" customWidth="1"/>
    <col min="10247" max="10496" width="8.83203125" style="1"/>
    <col min="10497" max="10497" width="5.5" style="1" customWidth="1"/>
    <col min="10498" max="10498" width="32.1640625" style="1" customWidth="1"/>
    <col min="10499" max="10499" width="9.1640625" style="1" customWidth="1"/>
    <col min="10500" max="10501" width="8.83203125" style="1"/>
    <col min="10502" max="10502" width="24" style="1" customWidth="1"/>
    <col min="10503" max="10752" width="8.83203125" style="1"/>
    <col min="10753" max="10753" width="5.5" style="1" customWidth="1"/>
    <col min="10754" max="10754" width="32.1640625" style="1" customWidth="1"/>
    <col min="10755" max="10755" width="9.1640625" style="1" customWidth="1"/>
    <col min="10756" max="10757" width="8.83203125" style="1"/>
    <col min="10758" max="10758" width="24" style="1" customWidth="1"/>
    <col min="10759" max="11008" width="8.83203125" style="1"/>
    <col min="11009" max="11009" width="5.5" style="1" customWidth="1"/>
    <col min="11010" max="11010" width="32.1640625" style="1" customWidth="1"/>
    <col min="11011" max="11011" width="9.1640625" style="1" customWidth="1"/>
    <col min="11012" max="11013" width="8.83203125" style="1"/>
    <col min="11014" max="11014" width="24" style="1" customWidth="1"/>
    <col min="11015" max="11264" width="8.83203125" style="1"/>
    <col min="11265" max="11265" width="5.5" style="1" customWidth="1"/>
    <col min="11266" max="11266" width="32.1640625" style="1" customWidth="1"/>
    <col min="11267" max="11267" width="9.1640625" style="1" customWidth="1"/>
    <col min="11268" max="11269" width="8.83203125" style="1"/>
    <col min="11270" max="11270" width="24" style="1" customWidth="1"/>
    <col min="11271" max="11520" width="8.83203125" style="1"/>
    <col min="11521" max="11521" width="5.5" style="1" customWidth="1"/>
    <col min="11522" max="11522" width="32.1640625" style="1" customWidth="1"/>
    <col min="11523" max="11523" width="9.1640625" style="1" customWidth="1"/>
    <col min="11524" max="11525" width="8.83203125" style="1"/>
    <col min="11526" max="11526" width="24" style="1" customWidth="1"/>
    <col min="11527" max="11776" width="8.83203125" style="1"/>
    <col min="11777" max="11777" width="5.5" style="1" customWidth="1"/>
    <col min="11778" max="11778" width="32.1640625" style="1" customWidth="1"/>
    <col min="11779" max="11779" width="9.1640625" style="1" customWidth="1"/>
    <col min="11780" max="11781" width="8.83203125" style="1"/>
    <col min="11782" max="11782" width="24" style="1" customWidth="1"/>
    <col min="11783" max="12032" width="8.83203125" style="1"/>
    <col min="12033" max="12033" width="5.5" style="1" customWidth="1"/>
    <col min="12034" max="12034" width="32.1640625" style="1" customWidth="1"/>
    <col min="12035" max="12035" width="9.1640625" style="1" customWidth="1"/>
    <col min="12036" max="12037" width="8.83203125" style="1"/>
    <col min="12038" max="12038" width="24" style="1" customWidth="1"/>
    <col min="12039" max="12288" width="8.83203125" style="1"/>
    <col min="12289" max="12289" width="5.5" style="1" customWidth="1"/>
    <col min="12290" max="12290" width="32.1640625" style="1" customWidth="1"/>
    <col min="12291" max="12291" width="9.1640625" style="1" customWidth="1"/>
    <col min="12292" max="12293" width="8.83203125" style="1"/>
    <col min="12294" max="12294" width="24" style="1" customWidth="1"/>
    <col min="12295" max="12544" width="8.83203125" style="1"/>
    <col min="12545" max="12545" width="5.5" style="1" customWidth="1"/>
    <col min="12546" max="12546" width="32.1640625" style="1" customWidth="1"/>
    <col min="12547" max="12547" width="9.1640625" style="1" customWidth="1"/>
    <col min="12548" max="12549" width="8.83203125" style="1"/>
    <col min="12550" max="12550" width="24" style="1" customWidth="1"/>
    <col min="12551" max="12800" width="8.83203125" style="1"/>
    <col min="12801" max="12801" width="5.5" style="1" customWidth="1"/>
    <col min="12802" max="12802" width="32.1640625" style="1" customWidth="1"/>
    <col min="12803" max="12803" width="9.1640625" style="1" customWidth="1"/>
    <col min="12804" max="12805" width="8.83203125" style="1"/>
    <col min="12806" max="12806" width="24" style="1" customWidth="1"/>
    <col min="12807" max="13056" width="8.83203125" style="1"/>
    <col min="13057" max="13057" width="5.5" style="1" customWidth="1"/>
    <col min="13058" max="13058" width="32.1640625" style="1" customWidth="1"/>
    <col min="13059" max="13059" width="9.1640625" style="1" customWidth="1"/>
    <col min="13060" max="13061" width="8.83203125" style="1"/>
    <col min="13062" max="13062" width="24" style="1" customWidth="1"/>
    <col min="13063" max="13312" width="8.83203125" style="1"/>
    <col min="13313" max="13313" width="5.5" style="1" customWidth="1"/>
    <col min="13314" max="13314" width="32.1640625" style="1" customWidth="1"/>
    <col min="13315" max="13315" width="9.1640625" style="1" customWidth="1"/>
    <col min="13316" max="13317" width="8.83203125" style="1"/>
    <col min="13318" max="13318" width="24" style="1" customWidth="1"/>
    <col min="13319" max="13568" width="8.83203125" style="1"/>
    <col min="13569" max="13569" width="5.5" style="1" customWidth="1"/>
    <col min="13570" max="13570" width="32.1640625" style="1" customWidth="1"/>
    <col min="13571" max="13571" width="9.1640625" style="1" customWidth="1"/>
    <col min="13572" max="13573" width="8.83203125" style="1"/>
    <col min="13574" max="13574" width="24" style="1" customWidth="1"/>
    <col min="13575" max="13824" width="8.83203125" style="1"/>
    <col min="13825" max="13825" width="5.5" style="1" customWidth="1"/>
    <col min="13826" max="13826" width="32.1640625" style="1" customWidth="1"/>
    <col min="13827" max="13827" width="9.1640625" style="1" customWidth="1"/>
    <col min="13828" max="13829" width="8.83203125" style="1"/>
    <col min="13830" max="13830" width="24" style="1" customWidth="1"/>
    <col min="13831" max="14080" width="8.83203125" style="1"/>
    <col min="14081" max="14081" width="5.5" style="1" customWidth="1"/>
    <col min="14082" max="14082" width="32.1640625" style="1" customWidth="1"/>
    <col min="14083" max="14083" width="9.1640625" style="1" customWidth="1"/>
    <col min="14084" max="14085" width="8.83203125" style="1"/>
    <col min="14086" max="14086" width="24" style="1" customWidth="1"/>
    <col min="14087" max="14336" width="8.83203125" style="1"/>
    <col min="14337" max="14337" width="5.5" style="1" customWidth="1"/>
    <col min="14338" max="14338" width="32.1640625" style="1" customWidth="1"/>
    <col min="14339" max="14339" width="9.1640625" style="1" customWidth="1"/>
    <col min="14340" max="14341" width="8.83203125" style="1"/>
    <col min="14342" max="14342" width="24" style="1" customWidth="1"/>
    <col min="14343" max="14592" width="8.83203125" style="1"/>
    <col min="14593" max="14593" width="5.5" style="1" customWidth="1"/>
    <col min="14594" max="14594" width="32.1640625" style="1" customWidth="1"/>
    <col min="14595" max="14595" width="9.1640625" style="1" customWidth="1"/>
    <col min="14596" max="14597" width="8.83203125" style="1"/>
    <col min="14598" max="14598" width="24" style="1" customWidth="1"/>
    <col min="14599" max="14848" width="8.83203125" style="1"/>
    <col min="14849" max="14849" width="5.5" style="1" customWidth="1"/>
    <col min="14850" max="14850" width="32.1640625" style="1" customWidth="1"/>
    <col min="14851" max="14851" width="9.1640625" style="1" customWidth="1"/>
    <col min="14852" max="14853" width="8.83203125" style="1"/>
    <col min="14854" max="14854" width="24" style="1" customWidth="1"/>
    <col min="14855" max="15104" width="8.83203125" style="1"/>
    <col min="15105" max="15105" width="5.5" style="1" customWidth="1"/>
    <col min="15106" max="15106" width="32.1640625" style="1" customWidth="1"/>
    <col min="15107" max="15107" width="9.1640625" style="1" customWidth="1"/>
    <col min="15108" max="15109" width="8.83203125" style="1"/>
    <col min="15110" max="15110" width="24" style="1" customWidth="1"/>
    <col min="15111" max="15360" width="8.83203125" style="1"/>
    <col min="15361" max="15361" width="5.5" style="1" customWidth="1"/>
    <col min="15362" max="15362" width="32.1640625" style="1" customWidth="1"/>
    <col min="15363" max="15363" width="9.1640625" style="1" customWidth="1"/>
    <col min="15364" max="15365" width="8.83203125" style="1"/>
    <col min="15366" max="15366" width="24" style="1" customWidth="1"/>
    <col min="15367" max="15616" width="8.83203125" style="1"/>
    <col min="15617" max="15617" width="5.5" style="1" customWidth="1"/>
    <col min="15618" max="15618" width="32.1640625" style="1" customWidth="1"/>
    <col min="15619" max="15619" width="9.1640625" style="1" customWidth="1"/>
    <col min="15620" max="15621" width="8.83203125" style="1"/>
    <col min="15622" max="15622" width="24" style="1" customWidth="1"/>
    <col min="15623" max="15872" width="8.83203125" style="1"/>
    <col min="15873" max="15873" width="5.5" style="1" customWidth="1"/>
    <col min="15874" max="15874" width="32.1640625" style="1" customWidth="1"/>
    <col min="15875" max="15875" width="9.1640625" style="1" customWidth="1"/>
    <col min="15876" max="15877" width="8.83203125" style="1"/>
    <col min="15878" max="15878" width="24" style="1" customWidth="1"/>
    <col min="15879" max="16128" width="8.83203125" style="1"/>
    <col min="16129" max="16129" width="5.5" style="1" customWidth="1"/>
    <col min="16130" max="16130" width="32.1640625" style="1" customWidth="1"/>
    <col min="16131" max="16131" width="9.1640625" style="1" customWidth="1"/>
    <col min="16132" max="16133" width="8.83203125" style="1"/>
    <col min="16134" max="16134" width="24" style="1" customWidth="1"/>
    <col min="16135" max="16384" width="8.83203125" style="1"/>
  </cols>
  <sheetData>
    <row r="1" spans="1:3" x14ac:dyDescent="0.15">
      <c r="A1" s="22"/>
      <c r="B1" s="22"/>
      <c r="C1" s="23"/>
    </row>
    <row r="2" spans="1:3" x14ac:dyDescent="0.15">
      <c r="A2" s="24" t="s">
        <v>23</v>
      </c>
      <c r="B2" s="25" t="s">
        <v>24</v>
      </c>
      <c r="C2" s="25" t="s">
        <v>25</v>
      </c>
    </row>
    <row r="3" spans="1:3" x14ac:dyDescent="0.15">
      <c r="A3" s="24">
        <v>1</v>
      </c>
      <c r="B3" s="50" t="s">
        <v>38</v>
      </c>
      <c r="C3" s="26">
        <v>0.33333333333333809</v>
      </c>
    </row>
    <row r="4" spans="1:3" x14ac:dyDescent="0.15">
      <c r="A4" s="24">
        <v>2</v>
      </c>
      <c r="B4" s="50" t="s">
        <v>31</v>
      </c>
      <c r="C4" s="26">
        <v>0</v>
      </c>
    </row>
    <row r="5" spans="1:3" x14ac:dyDescent="0.15">
      <c r="A5" s="24">
        <v>3</v>
      </c>
      <c r="B5" s="50" t="s">
        <v>38</v>
      </c>
      <c r="C5" s="26">
        <v>0.13333333333332575</v>
      </c>
    </row>
    <row r="6" spans="1:3" x14ac:dyDescent="0.15">
      <c r="A6" s="24">
        <v>4</v>
      </c>
      <c r="B6" s="50" t="s">
        <v>38</v>
      </c>
      <c r="C6" s="27">
        <v>0</v>
      </c>
    </row>
    <row r="7" spans="1:3" x14ac:dyDescent="0.15">
      <c r="A7" s="24">
        <v>5</v>
      </c>
      <c r="B7" s="50" t="s">
        <v>31</v>
      </c>
      <c r="C7" s="27">
        <v>0</v>
      </c>
    </row>
    <row r="8" spans="1:3" x14ac:dyDescent="0.15">
      <c r="A8" s="24">
        <v>6</v>
      </c>
      <c r="B8" s="50" t="s">
        <v>38</v>
      </c>
      <c r="C8" s="28">
        <v>0</v>
      </c>
    </row>
    <row r="9" spans="1:3" x14ac:dyDescent="0.15">
      <c r="A9" s="24">
        <v>7</v>
      </c>
      <c r="B9" s="50" t="s">
        <v>38</v>
      </c>
      <c r="C9" s="27">
        <v>0</v>
      </c>
    </row>
    <row r="10" spans="1:3" x14ac:dyDescent="0.15">
      <c r="A10" s="24">
        <v>8</v>
      </c>
      <c r="B10" s="50" t="s">
        <v>31</v>
      </c>
      <c r="C10" s="27">
        <v>0</v>
      </c>
    </row>
    <row r="11" spans="1:3" x14ac:dyDescent="0.15">
      <c r="A11" s="24">
        <v>9</v>
      </c>
      <c r="B11" s="50" t="s">
        <v>60</v>
      </c>
      <c r="C11" s="27">
        <v>3.4389866452686582E-3</v>
      </c>
    </row>
    <row r="12" spans="1:3" x14ac:dyDescent="0.15">
      <c r="A12" s="24">
        <v>10</v>
      </c>
      <c r="B12" s="50" t="s">
        <v>69</v>
      </c>
      <c r="C12" s="27">
        <v>3.1779661016920254E-3</v>
      </c>
    </row>
    <row r="13" spans="1:3" x14ac:dyDescent="0.15">
      <c r="A13" s="24">
        <v>11</v>
      </c>
      <c r="B13" s="50" t="s">
        <v>60</v>
      </c>
      <c r="C13" s="28">
        <v>7.7438768059756545E-3</v>
      </c>
    </row>
    <row r="14" spans="1:3" x14ac:dyDescent="0.15">
      <c r="A14" s="24">
        <v>12</v>
      </c>
      <c r="B14" s="50" t="s">
        <v>69</v>
      </c>
      <c r="C14" s="28">
        <v>6.3047727129499102E-3</v>
      </c>
    </row>
    <row r="15" spans="1:3" x14ac:dyDescent="0.15">
      <c r="A15" s="24">
        <v>13</v>
      </c>
      <c r="B15" s="50" t="s">
        <v>39</v>
      </c>
      <c r="C15" s="28">
        <v>1.156069364162441E-2</v>
      </c>
    </row>
    <row r="16" spans="1:3" x14ac:dyDescent="0.15">
      <c r="A16" s="24">
        <v>14</v>
      </c>
      <c r="B16" s="50" t="s">
        <v>31</v>
      </c>
      <c r="C16" s="28">
        <v>0</v>
      </c>
    </row>
    <row r="17" spans="1:3" x14ac:dyDescent="0.15">
      <c r="A17" s="24">
        <v>15</v>
      </c>
      <c r="B17" s="50" t="s">
        <v>73</v>
      </c>
      <c r="C17" s="28">
        <v>0</v>
      </c>
    </row>
    <row r="18" spans="1:3" x14ac:dyDescent="0.15">
      <c r="A18" s="24">
        <v>16</v>
      </c>
      <c r="B18" s="50" t="s">
        <v>39</v>
      </c>
      <c r="C18" s="28">
        <v>0</v>
      </c>
    </row>
    <row r="19" spans="1:3" x14ac:dyDescent="0.15">
      <c r="A19" s="24">
        <v>17</v>
      </c>
      <c r="B19" s="50" t="s">
        <v>31</v>
      </c>
      <c r="C19" s="28">
        <v>0</v>
      </c>
    </row>
    <row r="20" spans="1:3" x14ac:dyDescent="0.15">
      <c r="A20" s="24">
        <v>18</v>
      </c>
      <c r="B20" s="50" t="s">
        <v>73</v>
      </c>
      <c r="C20" s="28">
        <v>0</v>
      </c>
    </row>
    <row r="21" spans="1:3" x14ac:dyDescent="0.15">
      <c r="A21" s="24">
        <v>19</v>
      </c>
      <c r="B21" s="50" t="s">
        <v>62</v>
      </c>
      <c r="C21" s="28">
        <v>0</v>
      </c>
    </row>
    <row r="22" spans="1:3" x14ac:dyDescent="0.15">
      <c r="A22" s="24">
        <v>20</v>
      </c>
      <c r="B22" s="50" t="s">
        <v>64</v>
      </c>
      <c r="C22" s="28">
        <v>1.3207547169713507E-3</v>
      </c>
    </row>
    <row r="23" spans="1:3" ht="14" x14ac:dyDescent="0.15">
      <c r="A23" s="24">
        <v>21</v>
      </c>
      <c r="B23" s="4" t="s">
        <v>65</v>
      </c>
      <c r="C23" s="28">
        <v>5.4545454545456614E-3</v>
      </c>
    </row>
    <row r="24" spans="1:3" ht="14" x14ac:dyDescent="0.15">
      <c r="A24" s="24">
        <v>22</v>
      </c>
      <c r="B24" s="4" t="s">
        <v>75</v>
      </c>
      <c r="C24" s="28">
        <v>1.3703703703695452E-2</v>
      </c>
    </row>
    <row r="25" spans="1:3" ht="14" x14ac:dyDescent="0.15">
      <c r="A25" s="24">
        <v>23</v>
      </c>
      <c r="B25" s="4" t="s">
        <v>79</v>
      </c>
      <c r="C25" s="28">
        <v>3.6363636363642045E-2</v>
      </c>
    </row>
    <row r="26" spans="1:3" ht="14" x14ac:dyDescent="0.15">
      <c r="A26" s="24">
        <v>24</v>
      </c>
      <c r="B26" s="4" t="s">
        <v>76</v>
      </c>
      <c r="C26" s="28">
        <v>1.1235955056185524E-2</v>
      </c>
    </row>
    <row r="27" spans="1:3" ht="14" x14ac:dyDescent="0.15">
      <c r="A27" s="24">
        <v>25</v>
      </c>
      <c r="B27" s="4" t="s">
        <v>65</v>
      </c>
      <c r="C27" s="28">
        <v>5.0877192982449757E-3</v>
      </c>
    </row>
    <row r="28" spans="1:3" ht="14" x14ac:dyDescent="0.15">
      <c r="A28" s="24">
        <v>26</v>
      </c>
      <c r="B28" s="4" t="s">
        <v>77</v>
      </c>
      <c r="C28" s="28">
        <v>2.5842696629209138E-2</v>
      </c>
    </row>
    <row r="29" spans="1:3" ht="14" x14ac:dyDescent="0.15">
      <c r="A29" s="24">
        <v>27</v>
      </c>
      <c r="B29" s="4" t="s">
        <v>78</v>
      </c>
      <c r="C29" s="28">
        <v>4.7619047619004307E-3</v>
      </c>
    </row>
    <row r="30" spans="1:3" ht="14" x14ac:dyDescent="0.15">
      <c r="A30" s="24">
        <v>28</v>
      </c>
      <c r="B30" s="4" t="s">
        <v>86</v>
      </c>
      <c r="C30" s="28">
        <v>5.6603773584854179E-3</v>
      </c>
    </row>
    <row r="31" spans="1:3" ht="14" x14ac:dyDescent="0.15">
      <c r="A31" s="24">
        <v>29</v>
      </c>
      <c r="B31" s="4" t="s">
        <v>62</v>
      </c>
      <c r="C31" s="28">
        <v>0</v>
      </c>
    </row>
    <row r="32" spans="1:3" ht="14" x14ac:dyDescent="0.15">
      <c r="A32" s="24">
        <v>30</v>
      </c>
      <c r="B32" s="4" t="s">
        <v>78</v>
      </c>
      <c r="C32" s="28">
        <v>0</v>
      </c>
    </row>
    <row r="33" spans="1:3" ht="14" x14ac:dyDescent="0.15">
      <c r="A33" s="24">
        <v>31</v>
      </c>
      <c r="B33" s="4" t="s">
        <v>64</v>
      </c>
      <c r="C33" s="28">
        <v>7.8124999999928957E-4</v>
      </c>
    </row>
    <row r="34" spans="1:3" ht="14" x14ac:dyDescent="0.15">
      <c r="A34" s="24">
        <v>32</v>
      </c>
      <c r="B34" s="4" t="s">
        <v>87</v>
      </c>
      <c r="C34" s="28">
        <v>1.3162393162392851E-2</v>
      </c>
    </row>
    <row r="35" spans="1:3" ht="14" x14ac:dyDescent="0.15">
      <c r="A35" s="24">
        <v>33</v>
      </c>
      <c r="B35" s="4" t="s">
        <v>75</v>
      </c>
      <c r="C35" s="28">
        <v>1.2037037037047142E-2</v>
      </c>
    </row>
    <row r="36" spans="1:3" ht="14" x14ac:dyDescent="0.15">
      <c r="A36" s="24">
        <v>34</v>
      </c>
      <c r="B36" s="4" t="s">
        <v>78</v>
      </c>
      <c r="C36" s="28">
        <v>0</v>
      </c>
    </row>
    <row r="37" spans="1:3" ht="14" x14ac:dyDescent="0.15">
      <c r="A37" s="24">
        <v>35</v>
      </c>
      <c r="B37" s="4" t="s">
        <v>77</v>
      </c>
      <c r="C37" s="28">
        <v>4.7222222222226641E-2</v>
      </c>
    </row>
    <row r="38" spans="1:3" ht="14" x14ac:dyDescent="0.15">
      <c r="A38" s="24">
        <v>36</v>
      </c>
      <c r="B38" s="4" t="s">
        <v>76</v>
      </c>
      <c r="C38" s="28">
        <v>1.6666666666667298E-2</v>
      </c>
    </row>
    <row r="39" spans="1:3" ht="14" x14ac:dyDescent="0.15">
      <c r="A39" s="24">
        <v>37</v>
      </c>
      <c r="B39" s="4" t="s">
        <v>65</v>
      </c>
      <c r="C39" s="28">
        <v>1.1324786324785742E-2</v>
      </c>
    </row>
    <row r="40" spans="1:3" ht="14" x14ac:dyDescent="0.15">
      <c r="A40" s="24">
        <v>38</v>
      </c>
      <c r="B40" s="4" t="s">
        <v>78</v>
      </c>
      <c r="C40" s="28">
        <v>9.4736842105266755E-3</v>
      </c>
    </row>
    <row r="41" spans="1:3" ht="14" x14ac:dyDescent="0.15">
      <c r="A41" s="24">
        <v>39</v>
      </c>
      <c r="B41" s="4" t="s">
        <v>86</v>
      </c>
      <c r="C41" s="28">
        <v>1.6363636363642148E-2</v>
      </c>
    </row>
    <row r="42" spans="1:3" ht="14" x14ac:dyDescent="0.15">
      <c r="A42" s="24">
        <v>40</v>
      </c>
      <c r="B42" s="4" t="s">
        <v>62</v>
      </c>
      <c r="C42" s="28">
        <v>0</v>
      </c>
    </row>
    <row r="43" spans="1:3" ht="14" x14ac:dyDescent="0.15">
      <c r="A43" s="24">
        <v>41</v>
      </c>
      <c r="B43" s="4" t="s">
        <v>42</v>
      </c>
      <c r="C43" s="28">
        <v>5.6666666666664874E-2</v>
      </c>
    </row>
    <row r="44" spans="1:3" ht="14" x14ac:dyDescent="0.15">
      <c r="A44" s="24">
        <v>42</v>
      </c>
      <c r="B44" s="4" t="s">
        <v>42</v>
      </c>
      <c r="C44" s="28">
        <v>4.8421052631585769E-2</v>
      </c>
    </row>
    <row r="45" spans="1:3" ht="14" x14ac:dyDescent="0.15">
      <c r="A45" s="24">
        <v>43</v>
      </c>
      <c r="B45" s="4" t="s">
        <v>42</v>
      </c>
      <c r="C45" s="28">
        <v>0.19333333333333277</v>
      </c>
    </row>
    <row r="46" spans="1:3" ht="14" x14ac:dyDescent="0.15">
      <c r="A46" s="24">
        <v>44</v>
      </c>
      <c r="B46" s="4" t="s">
        <v>42</v>
      </c>
      <c r="C46" s="28">
        <v>4.2553191489368355E-2</v>
      </c>
    </row>
    <row r="47" spans="1:3" ht="14" x14ac:dyDescent="0.15">
      <c r="A47" s="24">
        <v>45</v>
      </c>
      <c r="B47" s="4" t="s">
        <v>42</v>
      </c>
      <c r="C47" s="28">
        <v>5.6666666666664874E-2</v>
      </c>
    </row>
    <row r="48" spans="1:3" ht="14" x14ac:dyDescent="0.15">
      <c r="A48" s="24">
        <v>46</v>
      </c>
      <c r="B48" s="4" t="s">
        <v>42</v>
      </c>
      <c r="C48" s="28">
        <v>4.8421052631585769E-2</v>
      </c>
    </row>
    <row r="49" spans="1:3" ht="14" x14ac:dyDescent="0.15">
      <c r="A49" s="24">
        <v>47</v>
      </c>
      <c r="B49" s="4" t="s">
        <v>42</v>
      </c>
      <c r="C49" s="28">
        <v>0.23999999999999136</v>
      </c>
    </row>
    <row r="50" spans="1:3" ht="14" x14ac:dyDescent="0.15">
      <c r="A50" s="24">
        <v>48</v>
      </c>
      <c r="B50" s="4" t="s">
        <v>42</v>
      </c>
      <c r="C50" s="28">
        <v>3.8888888888896946E-2</v>
      </c>
    </row>
    <row r="51" spans="1:3" ht="14" x14ac:dyDescent="0.15">
      <c r="A51" s="24">
        <v>49</v>
      </c>
      <c r="B51" s="4" t="s">
        <v>34</v>
      </c>
      <c r="C51" s="28">
        <v>-4.1666666666664298E-2</v>
      </c>
    </row>
    <row r="52" spans="1:3" ht="14" x14ac:dyDescent="0.15">
      <c r="A52" s="24">
        <v>50</v>
      </c>
      <c r="B52" s="4" t="s">
        <v>47</v>
      </c>
      <c r="C52" s="28">
        <v>0</v>
      </c>
    </row>
    <row r="53" spans="1:3" ht="14" x14ac:dyDescent="0.15">
      <c r="A53" s="24">
        <v>51</v>
      </c>
      <c r="B53" s="4" t="s">
        <v>67</v>
      </c>
      <c r="C53" s="28">
        <v>0</v>
      </c>
    </row>
    <row r="54" spans="1:3" ht="14" x14ac:dyDescent="0.15">
      <c r="A54" s="24">
        <v>52</v>
      </c>
      <c r="B54" s="4" t="s">
        <v>70</v>
      </c>
      <c r="C54" s="28">
        <v>0</v>
      </c>
    </row>
    <row r="55" spans="1:3" ht="14" x14ac:dyDescent="0.15">
      <c r="A55" s="24">
        <v>53</v>
      </c>
      <c r="B55" s="4" t="s">
        <v>34</v>
      </c>
      <c r="C55" s="28">
        <v>-4.2763157894735344E-2</v>
      </c>
    </row>
    <row r="56" spans="1:3" ht="14" x14ac:dyDescent="0.15">
      <c r="A56" s="24">
        <v>54</v>
      </c>
      <c r="B56" s="4" t="s">
        <v>47</v>
      </c>
      <c r="C56" s="28">
        <v>0</v>
      </c>
    </row>
    <row r="57" spans="1:3" ht="14" x14ac:dyDescent="0.15">
      <c r="A57" s="24">
        <v>55</v>
      </c>
      <c r="B57" s="4" t="s">
        <v>34</v>
      </c>
      <c r="C57" s="28">
        <v>-5.4166666666664767E-2</v>
      </c>
    </row>
    <row r="58" spans="1:3" ht="14" x14ac:dyDescent="0.15">
      <c r="A58" s="24">
        <v>56</v>
      </c>
      <c r="B58" s="4" t="s">
        <v>48</v>
      </c>
      <c r="C58" s="28">
        <v>3.5928143712576209E-2</v>
      </c>
    </row>
    <row r="59" spans="1:3" ht="14" x14ac:dyDescent="0.15">
      <c r="A59" s="24">
        <v>57</v>
      </c>
      <c r="B59" s="4" t="s">
        <v>68</v>
      </c>
      <c r="C59" s="28">
        <v>2.8000000000005798E-2</v>
      </c>
    </row>
    <row r="60" spans="1:3" ht="14" x14ac:dyDescent="0.15">
      <c r="A60" s="24">
        <v>58</v>
      </c>
      <c r="B60" s="4" t="s">
        <v>62</v>
      </c>
      <c r="C60" s="28">
        <v>1.0526315789479069E-2</v>
      </c>
    </row>
    <row r="61" spans="1:3" ht="14" x14ac:dyDescent="0.15">
      <c r="A61" s="24">
        <v>59</v>
      </c>
      <c r="B61" s="4" t="s">
        <v>48</v>
      </c>
      <c r="C61" s="28">
        <v>2.6056338028173337E-2</v>
      </c>
    </row>
    <row r="62" spans="1:3" ht="14" x14ac:dyDescent="0.15">
      <c r="A62" s="24">
        <v>60</v>
      </c>
      <c r="B62" s="4" t="s">
        <v>62</v>
      </c>
      <c r="C62" s="28">
        <v>1.3513513513516588E-2</v>
      </c>
    </row>
    <row r="63" spans="1:3" ht="14" x14ac:dyDescent="0.15">
      <c r="A63" s="24">
        <v>61</v>
      </c>
      <c r="B63" s="4" t="s">
        <v>80</v>
      </c>
      <c r="C63" s="28">
        <v>-3.5294117647060162E-2</v>
      </c>
    </row>
    <row r="64" spans="1:3" ht="14" x14ac:dyDescent="0.15">
      <c r="A64" s="24">
        <v>62</v>
      </c>
      <c r="B64" s="4" t="s">
        <v>74</v>
      </c>
      <c r="C64" s="28">
        <v>1.1111111111101005E-2</v>
      </c>
    </row>
    <row r="65" spans="1:3" ht="14" x14ac:dyDescent="0.15">
      <c r="A65" s="24">
        <v>63</v>
      </c>
      <c r="B65" s="4" t="s">
        <v>52</v>
      </c>
      <c r="C65" s="28">
        <v>-0.14285714285713474</v>
      </c>
    </row>
    <row r="66" spans="1:3" ht="14" x14ac:dyDescent="0.15">
      <c r="A66" s="24">
        <v>64</v>
      </c>
      <c r="B66" s="4" t="s">
        <v>53</v>
      </c>
      <c r="C66" s="28">
        <v>7.6923076923006966E-3</v>
      </c>
    </row>
    <row r="67" spans="1:3" ht="14" x14ac:dyDescent="0.15">
      <c r="A67" s="24">
        <v>65</v>
      </c>
      <c r="B67" s="4" t="s">
        <v>55</v>
      </c>
      <c r="C67" s="28">
        <v>7.01754385964274E-3</v>
      </c>
    </row>
    <row r="68" spans="1:3" ht="14" x14ac:dyDescent="0.15">
      <c r="A68" s="24">
        <v>66</v>
      </c>
      <c r="B68" s="4" t="s">
        <v>58</v>
      </c>
      <c r="C68" s="28">
        <v>9.6103896103893596E-2</v>
      </c>
    </row>
    <row r="69" spans="1:3" ht="14" x14ac:dyDescent="0.15">
      <c r="A69" s="24">
        <v>67</v>
      </c>
      <c r="B69" s="4" t="s">
        <v>52</v>
      </c>
      <c r="C69" s="28">
        <v>-6.0606060606057159E-2</v>
      </c>
    </row>
    <row r="70" spans="1:3" ht="14" x14ac:dyDescent="0.15">
      <c r="A70" s="24">
        <v>68</v>
      </c>
      <c r="B70" s="4" t="s">
        <v>68</v>
      </c>
      <c r="C70" s="28">
        <v>0</v>
      </c>
    </row>
    <row r="71" spans="1:3" ht="14" x14ac:dyDescent="0.15">
      <c r="A71" s="24">
        <v>69</v>
      </c>
      <c r="B71" s="4" t="s">
        <v>58</v>
      </c>
      <c r="C71" s="28">
        <v>5.5172413793112073E-2</v>
      </c>
    </row>
    <row r="72" spans="1:3" ht="14" x14ac:dyDescent="0.15">
      <c r="A72" s="24">
        <v>70</v>
      </c>
      <c r="B72" s="4" t="s">
        <v>74</v>
      </c>
      <c r="C72" s="28">
        <v>6.2499999999943165E-3</v>
      </c>
    </row>
    <row r="73" spans="1:3" ht="14" x14ac:dyDescent="0.15">
      <c r="A73" s="24">
        <v>71</v>
      </c>
      <c r="B73" s="4" t="s">
        <v>50</v>
      </c>
      <c r="C73" s="28">
        <v>0.12268518518517887</v>
      </c>
    </row>
    <row r="74" spans="1:3" ht="14" x14ac:dyDescent="0.15">
      <c r="A74" s="24">
        <v>72</v>
      </c>
      <c r="B74" s="4" t="s">
        <v>55</v>
      </c>
      <c r="C74" s="28">
        <v>1.8965517241381662E-2</v>
      </c>
    </row>
    <row r="75" spans="1:3" ht="14" x14ac:dyDescent="0.15">
      <c r="A75" s="24">
        <v>73</v>
      </c>
      <c r="B75" s="4" t="s">
        <v>58</v>
      </c>
      <c r="C75" s="28">
        <v>6.6666666666662877E-2</v>
      </c>
    </row>
    <row r="76" spans="1:3" ht="14" x14ac:dyDescent="0.15">
      <c r="A76" s="24">
        <v>74</v>
      </c>
      <c r="B76" s="4" t="s">
        <v>53</v>
      </c>
      <c r="C76" s="28">
        <v>4.3478260869525675E-3</v>
      </c>
    </row>
    <row r="77" spans="1:3" ht="14" x14ac:dyDescent="0.15">
      <c r="A77" s="24">
        <v>75</v>
      </c>
      <c r="B77" s="4" t="s">
        <v>82</v>
      </c>
      <c r="C77" s="28">
        <v>1.5625000000007994E-2</v>
      </c>
    </row>
    <row r="78" spans="1:3" ht="14" x14ac:dyDescent="0.15">
      <c r="A78" s="24">
        <v>76</v>
      </c>
      <c r="B78" s="4" t="s">
        <v>39</v>
      </c>
      <c r="C78" s="28">
        <v>0</v>
      </c>
    </row>
    <row r="79" spans="1:3" ht="14" x14ac:dyDescent="0.15">
      <c r="A79" s="24">
        <v>77</v>
      </c>
      <c r="B79" s="4" t="s">
        <v>58</v>
      </c>
      <c r="C79" s="28">
        <v>0</v>
      </c>
    </row>
    <row r="80" spans="1:3" ht="14" x14ac:dyDescent="0.15">
      <c r="A80" s="24">
        <v>78</v>
      </c>
      <c r="B80" s="4" t="s">
        <v>84</v>
      </c>
      <c r="C80" s="28">
        <v>9.8684210526226047E-3</v>
      </c>
    </row>
    <row r="81" spans="1:3" ht="14" x14ac:dyDescent="0.15">
      <c r="A81" s="24">
        <v>79</v>
      </c>
      <c r="B81" s="4" t="s">
        <v>74</v>
      </c>
      <c r="C81" s="28">
        <v>2.1126760563381083E-2</v>
      </c>
    </row>
    <row r="82" spans="1:3" x14ac:dyDescent="0.15">
      <c r="A82" s="24">
        <v>80</v>
      </c>
      <c r="B82" s="22" t="s">
        <v>53</v>
      </c>
      <c r="C82" s="28">
        <v>3.8333333333374262E-3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DA5-ECC8-4FA5-8757-50B1183D9121}">
  <sheetPr codeName="Sheet3"/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Recap Januari 2026</vt:lpstr>
      <vt:lpstr>Sheet2</vt:lpstr>
      <vt:lpstr>Sheet1</vt:lpstr>
      <vt:lpstr>Chart1</vt:lpstr>
      <vt:lpstr>'Data Recap Januari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</dc:creator>
  <cp:lastModifiedBy>Microsoft Office User</cp:lastModifiedBy>
  <dcterms:created xsi:type="dcterms:W3CDTF">2022-01-03T06:08:23Z</dcterms:created>
  <dcterms:modified xsi:type="dcterms:W3CDTF">2026-04-10T03:39:10Z</dcterms:modified>
</cp:coreProperties>
</file>